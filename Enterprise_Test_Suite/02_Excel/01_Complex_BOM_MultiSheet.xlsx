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b78e521f1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1" sheetId="1" r:id="R83add00985a74043"/>
    <x:sheet xmlns:r="http://schemas.openxmlformats.org/officeDocument/2006/relationships" name="Data_2" sheetId="2" r:id="Ra93812a1993b425f"/>
    <x:sheet xmlns:r="http://schemas.openxmlformats.org/officeDocument/2006/relationships" name="Data_3" sheetId="3" r:id="R098a6965491b461d"/>
    <x:sheet xmlns:r="http://schemas.openxmlformats.org/officeDocument/2006/relationships" name="Data_4" sheetId="4" r:id="Ra6ec1e55a8e3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1dd64f46d4315" /><Relationship Type="http://schemas.openxmlformats.org/officeDocument/2006/relationships/theme" Target="/xl/theme/theme1.xml" Id="R38bfa756268244b6" /><Relationship Type="http://schemas.openxmlformats.org/officeDocument/2006/relationships/sharedStrings" Target="/xl/sharedStrings.xml" Id="Re0c4773fef004613" /><Relationship Type="http://schemas.openxmlformats.org/officeDocument/2006/relationships/worksheet" Target="/xl/worksheets/sheet1.xml" Id="R83add00985a74043" /><Relationship Type="http://schemas.openxmlformats.org/officeDocument/2006/relationships/worksheet" Target="/xl/worksheets/sheet2.xml" Id="Ra93812a1993b425f" /><Relationship Type="http://schemas.openxmlformats.org/officeDocument/2006/relationships/worksheet" Target="/xl/worksheets/sheet3.xml" Id="R098a6965491b461d" /><Relationship Type="http://schemas.openxmlformats.org/officeDocument/2006/relationships/worksheet" Target="/xl/worksheets/sheet4.xml" Id="Ra6ec1e55a8e34cd7" /></Relationships>
</file>

<file path=xl/tables/table1.xml><?xml version="1.0" encoding="utf-8"?>
<x:table xmlns:x="http://schemas.openxmlformats.org/spreadsheetml/2006/main" id="1" name="Table1" displayName="Table1" ref="A1:J36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2.xml><?xml version="1.0" encoding="utf-8"?>
<x:table xmlns:x="http://schemas.openxmlformats.org/spreadsheetml/2006/main" id="2" name="Table2" displayName="Table2" ref="A1:J36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3.xml><?xml version="1.0" encoding="utf-8"?>
<x:table xmlns:x="http://schemas.openxmlformats.org/spreadsheetml/2006/main" id="3" name="Table3" displayName="Table3" ref="A1:J36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4.xml><?xml version="1.0" encoding="utf-8"?>
<x:table xmlns:x="http://schemas.openxmlformats.org/spreadsheetml/2006/main" id="4" name="Table4" displayName="Table4" ref="A1:J36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e746f3c5ef4f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36d2fc6f884c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a5cf1f73bf4c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7b9c627a484de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PN-01-00001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PN-01-00002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PN-01-00003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PN-01-00004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PN-01-00005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PN-01-00006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PN-01-00007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PN-01-00008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PN-01-00009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PN-01-00010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PN-01-00011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PN-01-00012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PN-01-00013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PN-01-00014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PN-01-00015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PN-01-00016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PN-01-00017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PN-01-00018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PN-01-00019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PN-01-00020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PN-01-00021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PN-01-00022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PN-01-00023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PN-01-00024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PN-01-00025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PN-01-00026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PN-01-00027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PN-01-00028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PN-01-00029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PN-01-00030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PN-01-00031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PN-01-00032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PN-01-00033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PN-01-00034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PN-01-00035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PN-01-00036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PN-01-00037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PN-01-00038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PN-01-00039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PN-01-00040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PN-01-00041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PN-01-00042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PN-01-00043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PN-01-00044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PN-01-00045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PN-01-00046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PN-01-00047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PN-01-00048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PN-01-00049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PN-01-00050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PN-01-00051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PN-01-00052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PN-01-00053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PN-01-00054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PN-01-00055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PN-01-00056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PN-01-00057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PN-01-00058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PN-01-00059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PN-01-00060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PN-01-00061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PN-01-00062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PN-01-00063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PN-01-00064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PN-01-00065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PN-01-00066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PN-01-00067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PN-01-00068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PN-01-00069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PN-01-00070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PN-01-00071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PN-01-00072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PN-01-00073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PN-01-00074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PN-01-00075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PN-01-00076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PN-01-00077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PN-01-00078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PN-01-00079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PN-01-00080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PN-01-00081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PN-01-00082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PN-01-00083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PN-01-00084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PN-01-00085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PN-01-00086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PN-01-00087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PN-01-00088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PN-01-00089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PN-01-00090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PN-01-00091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PN-01-00092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PN-01-00093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PN-01-00094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PN-01-00095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PN-01-00096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PN-01-00097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PN-01-00098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PN-01-00099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PN-01-00100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PN-01-00101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PN-01-00102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PN-01-00103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PN-01-00104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PN-01-00105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PN-01-00106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PN-01-00107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PN-01-00108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PN-01-00109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PN-01-00110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PN-01-00111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PN-01-00112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PN-01-00113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PN-01-00114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PN-01-00115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PN-01-00116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PN-01-00117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PN-01-00118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PN-01-00119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PN-01-00120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PN-01-00121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PN-01-00122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PN-01-00123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PN-01-00124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PN-01-00125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PN-01-00126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PN-01-00127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PN-01-00128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PN-01-00129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PN-01-00130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PN-01-00131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PN-01-00132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PN-01-00133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PN-01-00134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PN-01-00135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PN-01-00136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PN-01-00137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PN-01-00138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PN-01-00139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PN-01-00140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PN-01-00141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PN-01-00142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PN-01-00143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PN-01-00144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PN-01-00145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PN-01-00146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PN-01-00147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PN-01-00148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PN-01-00149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PN-01-00150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PN-01-00151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PN-01-00152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PN-01-00153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PN-01-00154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PN-01-00155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PN-01-00156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PN-01-00157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PN-01-00158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PN-01-00159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PN-01-00160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PN-01-00161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PN-01-00162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PN-01-00163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PN-01-00164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PN-01-00165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PN-01-00166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PN-01-00167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PN-01-00168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PN-01-00169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PN-01-00170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PN-01-00171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PN-01-00172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PN-01-00173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PN-01-00174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PN-01-00175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PN-01-00176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PN-01-00177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PN-01-00178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PN-01-00179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PN-01-00180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PN-01-00181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PN-01-00182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PN-01-00183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PN-01-00184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PN-01-00185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PN-01-00186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PN-01-00187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PN-01-00188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PN-01-00189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PN-01-00190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PN-01-00191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PN-01-00192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PN-01-00193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PN-01-00194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PN-01-00195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PN-01-00196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PN-01-00197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PN-01-00198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PN-01-00199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PN-01-00200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PN-01-00201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PN-01-00202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PN-01-00203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PN-01-00204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PN-01-00205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PN-01-00206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PN-01-00207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PN-01-00208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PN-01-00209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PN-01-00210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PN-01-00211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PN-01-00212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PN-01-00213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PN-01-00214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PN-01-00215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PN-01-00216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PN-01-00217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PN-01-00218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PN-01-00219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PN-01-00220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PN-01-00221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PN-01-00222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PN-01-00223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PN-01-00224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PN-01-00225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PN-01-00226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PN-01-00227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PN-01-00228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PN-01-00229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PN-01-00230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PN-01-00231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PN-01-00232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PN-01-00233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PN-01-00234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PN-01-00235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PN-01-00236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PN-01-00237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PN-01-00238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PN-01-00239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PN-01-00240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PN-01-00241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PN-01-00242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PN-01-00243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PN-01-00244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PN-01-00245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PN-01-00246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PN-01-00247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PN-01-00248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PN-01-00249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PN-01-00250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PN-01-00251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PN-01-00252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PN-01-00253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PN-01-00254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PN-01-00255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PN-01-00256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PN-01-00257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PN-01-00258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PN-01-00259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PN-01-00260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PN-01-00261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PN-01-00262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PN-01-00263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PN-01-00264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PN-01-00265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PN-01-00266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PN-01-00267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PN-01-00268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PN-01-00269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PN-01-00270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PN-01-00271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PN-01-00272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PN-01-00273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PN-01-00274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PN-01-00275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PN-01-00276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PN-01-00277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PN-01-00278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PN-01-00279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PN-01-00280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PN-01-00281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PN-01-00282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PN-01-00283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PN-01-00284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PN-01-00285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PN-01-00286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PN-01-00287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PN-01-00288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PN-01-00289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PN-01-00290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PN-01-00291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PN-01-00292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PN-01-00293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PN-01-00294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PN-01-00295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PN-01-00296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PN-01-00297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PN-01-00298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PN-01-00299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PN-01-00300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PN-01-00301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PN-01-00302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PN-01-00303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PN-01-00304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PN-01-00305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PN-01-00306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PN-01-00307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PN-01-00308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PN-01-00309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PN-01-00310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PN-01-00311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PN-01-00312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PN-01-00313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PN-01-00314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PN-01-00315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PN-01-00316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PN-01-00317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PN-01-00318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PN-01-00319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PN-01-00320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PN-01-00321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PN-01-00322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PN-01-00323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PN-01-00324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PN-01-00325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PN-01-00326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PN-01-00327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PN-01-00328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PN-01-00329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PN-01-00330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PN-01-00331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PN-01-00332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PN-01-00333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PN-01-00334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PN-01-00335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PN-01-00336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PN-01-00337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PN-01-00338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PN-01-00339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PN-01-00340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  <x:row r="342">
      <x:c r="A342" t="n">
        <x:v>341</x:v>
      </x:c>
      <x:c r="B342" t="str">
        <x:v>PN-01-00341</x:v>
      </x:c>
      <x:c r="C342" t="str">
        <x:v>Automation component 341 / 零件 341</x:v>
      </x:c>
      <x:c r="D342" s="8" t="n">
        <x:v>2</x:v>
      </x:c>
      <x:c r="E342" s="8" t="n">
        <x:v>14.83</x:v>
      </x:c>
      <x:c r="F342" s="8" t="n">
        <x:f>D342*E342</x:f>
        <x:v>29.66</x:v>
      </x:c>
      <x:c r="G342" t="str">
        <x:v>Hold</x:v>
      </x:c>
      <x:c r="H342" t="str">
        <x:v>Production</x:v>
      </x:c>
      <x:c r="I342" s="10" t="n">
        <x:v>46364</x:v>
      </x:c>
      <x:c r="J342" t="n">
        <x:f>F342-ROUND(F342*0.97,2)</x:f>
        <x:v>0.8900000000000006</x:v>
      </x:c>
    </x:row>
    <x:row r="343">
      <x:c r="A343" t="n">
        <x:v>342</x:v>
      </x:c>
      <x:c r="B343" t="str">
        <x:v>PN-01-00342</x:v>
      </x:c>
      <x:c r="C343" t="str">
        <x:v>Automation component 342 / 零件 342</x:v>
      </x:c>
      <x:c r="D343" s="8" t="n">
        <x:v>3</x:v>
      </x:c>
      <x:c r="E343" s="8" t="n">
        <x:v>16.2</x:v>
      </x:c>
      <x:c r="F343" s="8" t="n">
        <x:f>D343*E343</x:f>
        <x:v>48.599999999999994</x:v>
      </x:c>
      <x:c r="G343" t="str">
        <x:v>Open</x:v>
      </x:c>
      <x:c r="H343" t="str">
        <x:v>Engineering</x:v>
      </x:c>
      <x:c r="I343" s="10" t="n">
        <x:v>46365</x:v>
      </x:c>
      <x:c r="J343" t="n">
        <x:f>F343-ROUND(F343*0.97,2)</x:f>
        <x:v>1.4599999999999937</x:v>
      </x:c>
    </x:row>
    <x:row r="344">
      <x:c r="A344" t="n">
        <x:v>343</x:v>
      </x:c>
      <x:c r="B344" t="str">
        <x:v>PN-01-00343</x:v>
      </x:c>
      <x:c r="C344" t="str">
        <x:v>Automation component 343 / 零件 343</x:v>
      </x:c>
      <x:c r="D344" s="8" t="n">
        <x:v>4</x:v>
      </x:c>
      <x:c r="E344" s="8" t="n">
        <x:v>17.57</x:v>
      </x:c>
      <x:c r="F344" s="8" t="n">
        <x:f>D344*E344</x:f>
        <x:v>70.28</x:v>
      </x:c>
      <x:c r="G344" t="str">
        <x:v>Approved</x:v>
      </x:c>
      <x:c r="H344" t="str">
        <x:v>Quality</x:v>
      </x:c>
      <x:c r="I344" s="10" t="n">
        <x:v>46366</x:v>
      </x:c>
      <x:c r="J344" t="n">
        <x:f>F344-ROUND(F344*0.97,2)</x:f>
        <x:v>2.1099999999999994</x:v>
      </x:c>
    </x:row>
    <x:row r="345">
      <x:c r="A345" t="n">
        <x:v>344</x:v>
      </x:c>
      <x:c r="B345" t="str">
        <x:v>PN-01-00344</x:v>
      </x:c>
      <x:c r="C345" t="str">
        <x:v>Automation component 344 / 零件 344</x:v>
      </x:c>
      <x:c r="D345" s="8" t="n">
        <x:v>5</x:v>
      </x:c>
      <x:c r="E345" s="8" t="n">
        <x:v>18.94</x:v>
      </x:c>
      <x:c r="F345" s="8" t="n">
        <x:f>D345*E345</x:f>
        <x:v>94.7</x:v>
      </x:c>
      <x:c r="G345" t="str">
        <x:v>Hold</x:v>
      </x:c>
      <x:c r="H345" t="str">
        <x:v>Production</x:v>
      </x:c>
      <x:c r="I345" s="10" t="n">
        <x:v>46367</x:v>
      </x:c>
      <x:c r="J345" t="n">
        <x:f>F345-ROUND(F345*0.97,2)</x:f>
        <x:v>2.8400000000000034</x:v>
      </x:c>
    </x:row>
    <x:row r="346">
      <x:c r="A346" t="n">
        <x:v>345</x:v>
      </x:c>
      <x:c r="B346" t="str">
        <x:v>PN-01-00345</x:v>
      </x:c>
      <x:c r="C346" t="str">
        <x:v>Automation component 345 / 零件 345</x:v>
      </x:c>
      <x:c r="D346" s="8" t="n">
        <x:v>6</x:v>
      </x:c>
      <x:c r="E346" s="8" t="n">
        <x:v>20.31</x:v>
      </x:c>
      <x:c r="F346" s="8" t="n">
        <x:f>D346*E346</x:f>
        <x:v>121.85999999999999</x:v>
      </x:c>
      <x:c r="G346" t="str">
        <x:v>Open</x:v>
      </x:c>
      <x:c r="H346" t="str">
        <x:v>Engineering</x:v>
      </x:c>
      <x:c r="I346" s="10" t="n">
        <x:v>46368</x:v>
      </x:c>
      <x:c r="J346" t="n">
        <x:f>F346-ROUND(F346*0.97,2)</x:f>
        <x:v>3.6599999999999824</x:v>
      </x:c>
    </x:row>
    <x:row r="347">
      <x:c r="A347" t="n">
        <x:v>346</x:v>
      </x:c>
      <x:c r="B347" t="str">
        <x:v>PN-01-00346</x:v>
      </x:c>
      <x:c r="C347" t="str">
        <x:v>Automation component 346 / 零件 346</x:v>
      </x:c>
      <x:c r="D347" s="8" t="n">
        <x:v>7</x:v>
      </x:c>
      <x:c r="E347" s="8" t="n">
        <x:v>21.68</x:v>
      </x:c>
      <x:c r="F347" s="8" t="n">
        <x:f>D347*E347</x:f>
        <x:v>151.76</x:v>
      </x:c>
      <x:c r="G347" t="str">
        <x:v>Approved</x:v>
      </x:c>
      <x:c r="H347" t="str">
        <x:v>Quality</x:v>
      </x:c>
      <x:c r="I347" s="10" t="n">
        <x:v>46369</x:v>
      </x:c>
      <x:c r="J347" t="n">
        <x:f>F347-ROUND(F347*0.97,2)</x:f>
        <x:v>4.549999999999983</x:v>
      </x:c>
    </x:row>
    <x:row r="348">
      <x:c r="A348" t="n">
        <x:v>347</x:v>
      </x:c>
      <x:c r="B348" t="str">
        <x:v>PN-01-00347</x:v>
      </x:c>
      <x:c r="C348" t="str">
        <x:v>Automation component 347 / 零件 347</x:v>
      </x:c>
      <x:c r="D348" s="8" t="n">
        <x:v>8</x:v>
      </x:c>
      <x:c r="E348" s="8" t="n">
        <x:v>23.05</x:v>
      </x:c>
      <x:c r="F348" s="8" t="n">
        <x:f>D348*E348</x:f>
        <x:v>184.4</x:v>
      </x:c>
      <x:c r="G348" t="str">
        <x:v>Hold</x:v>
      </x:c>
      <x:c r="H348" t="str">
        <x:v>Production</x:v>
      </x:c>
      <x:c r="I348" s="10" t="n">
        <x:v>46370</x:v>
      </x:c>
      <x:c r="J348" t="n">
        <x:f>F348-ROUND(F348*0.97,2)</x:f>
        <x:v>5.530000000000001</x:v>
      </x:c>
    </x:row>
    <x:row r="349">
      <x:c r="A349" t="n">
        <x:v>348</x:v>
      </x:c>
      <x:c r="B349" t="str">
        <x:v>PN-01-00348</x:v>
      </x:c>
      <x:c r="C349" t="str">
        <x:v>Automation component 348 / 零件 348</x:v>
      </x:c>
      <x:c r="D349" s="8" t="n">
        <x:v>9</x:v>
      </x:c>
      <x:c r="E349" s="8" t="n">
        <x:v>24.42</x:v>
      </x:c>
      <x:c r="F349" s="8" t="n">
        <x:f>D349*E349</x:f>
        <x:v>219.78000000000003</x:v>
      </x:c>
      <x:c r="G349" t="str">
        <x:v>Open</x:v>
      </x:c>
      <x:c r="H349" t="str">
        <x:v>Engineering</x:v>
      </x:c>
      <x:c r="I349" s="10" t="n">
        <x:v>46371</x:v>
      </x:c>
      <x:c r="J349" t="n">
        <x:f>F349-ROUND(F349*0.97,2)</x:f>
        <x:v>6.590000000000032</x:v>
      </x:c>
    </x:row>
    <x:row r="350">
      <x:c r="A350" t="n">
        <x:v>349</x:v>
      </x:c>
      <x:c r="B350" t="str">
        <x:v>PN-01-00349</x:v>
      </x:c>
      <x:c r="C350" t="str">
        <x:v>Automation component 349 / 零件 349</x:v>
      </x:c>
      <x:c r="D350" s="8" t="n">
        <x:v>10</x:v>
      </x:c>
      <x:c r="E350" s="8" t="n">
        <x:v>25.79</x:v>
      </x:c>
      <x:c r="F350" s="8" t="n">
        <x:f>D350*E350</x:f>
        <x:v>257.9</x:v>
      </x:c>
      <x:c r="G350" t="str">
        <x:v>Approved</x:v>
      </x:c>
      <x:c r="H350" t="str">
        <x:v>Quality</x:v>
      </x:c>
      <x:c r="I350" s="10" t="n">
        <x:v>46372</x:v>
      </x:c>
      <x:c r="J350" t="n">
        <x:f>F350-ROUND(F350*0.97,2)</x:f>
        <x:v>7.739999999999981</x:v>
      </x:c>
    </x:row>
    <x:row r="351">
      <x:c r="A351" t="n">
        <x:v>350</x:v>
      </x:c>
      <x:c r="B351" t="str">
        <x:v>PN-01-00350</x:v>
      </x:c>
      <x:c r="C351" t="str">
        <x:v>Automation component 350 / 零件 350</x:v>
      </x:c>
      <x:c r="D351" s="8" t="n">
        <x:v>11</x:v>
      </x:c>
      <x:c r="E351" s="8" t="n">
        <x:v>27.16</x:v>
      </x:c>
      <x:c r="F351" s="8" t="n">
        <x:f>D351*E351</x:f>
        <x:v>298.76</x:v>
      </x:c>
      <x:c r="G351" t="str">
        <x:v>Hold</x:v>
      </x:c>
      <x:c r="H351" t="str">
        <x:v>Production</x:v>
      </x:c>
      <x:c r="I351" s="10" t="n">
        <x:v>46373</x:v>
      </x:c>
      <x:c r="J351" t="n">
        <x:f>F351-ROUND(F351*0.97,2)</x:f>
        <x:v>8.95999999999998</x:v>
      </x:c>
    </x:row>
    <x:row r="352">
      <x:c r="A352" t="n">
        <x:v>351</x:v>
      </x:c>
      <x:c r="B352" t="str">
        <x:v>PN-01-00351</x:v>
      </x:c>
      <x:c r="C352" t="str">
        <x:v>Automation component 351 / 零件 351</x:v>
      </x:c>
      <x:c r="D352" s="8" t="n">
        <x:v>12</x:v>
      </x:c>
      <x:c r="E352" s="8" t="n">
        <x:v>28.53</x:v>
      </x:c>
      <x:c r="F352" s="8" t="n">
        <x:f>D352*E352</x:f>
        <x:v>342.36</x:v>
      </x:c>
      <x:c r="G352" t="str">
        <x:v>Open</x:v>
      </x:c>
      <x:c r="H352" t="str">
        <x:v>Engineering</x:v>
      </x:c>
      <x:c r="I352" s="10" t="n">
        <x:v>46374</x:v>
      </x:c>
      <x:c r="J352" t="n">
        <x:f>F352-ROUND(F352*0.97,2)</x:f>
        <x:v>10.270000000000039</x:v>
      </x:c>
    </x:row>
    <x:row r="353">
      <x:c r="A353" t="n">
        <x:v>352</x:v>
      </x:c>
      <x:c r="B353" t="str">
        <x:v>PN-01-00352</x:v>
      </x:c>
      <x:c r="C353" t="str">
        <x:v>Automation component 352 / 零件 352</x:v>
      </x:c>
      <x:c r="D353" s="8" t="n">
        <x:v>13</x:v>
      </x:c>
      <x:c r="E353" s="8" t="n">
        <x:v>29.9</x:v>
      </x:c>
      <x:c r="F353" s="8" t="n">
        <x:f>D353*E353</x:f>
        <x:v>388.7</x:v>
      </x:c>
      <x:c r="G353" t="str">
        <x:v>Approved</x:v>
      </x:c>
      <x:c r="H353" t="str">
        <x:v>Quality</x:v>
      </x:c>
      <x:c r="I353" s="10" t="n">
        <x:v>46375</x:v>
      </x:c>
      <x:c r="J353" t="n">
        <x:f>F353-ROUND(F353*0.97,2)</x:f>
        <x:v>11.659999999999968</x:v>
      </x:c>
    </x:row>
    <x:row r="354">
      <x:c r="A354" t="n">
        <x:v>353</x:v>
      </x:c>
      <x:c r="B354" t="str">
        <x:v>PN-01-00353</x:v>
      </x:c>
      <x:c r="C354" t="str">
        <x:v>Automation component 353 / 零件 353</x:v>
      </x:c>
      <x:c r="D354" s="8" t="n">
        <x:v>14</x:v>
      </x:c>
      <x:c r="E354" s="8" t="n">
        <x:v>31.27</x:v>
      </x:c>
      <x:c r="F354" s="8" t="n">
        <x:f>D354*E354</x:f>
        <x:v>437.78</x:v>
      </x:c>
      <x:c r="G354" t="str">
        <x:v>Hold</x:v>
      </x:c>
      <x:c r="H354" t="str">
        <x:v>Production</x:v>
      </x:c>
      <x:c r="I354" s="10" t="n">
        <x:v>46376</x:v>
      </x:c>
      <x:c r="J354" t="n">
        <x:f>F354-ROUND(F354*0.97,2)</x:f>
        <x:v>13.129999999999995</x:v>
      </x:c>
    </x:row>
    <x:row r="355">
      <x:c r="A355" t="n">
        <x:v>354</x:v>
      </x:c>
      <x:c r="B355" t="str">
        <x:v>PN-01-00354</x:v>
      </x:c>
      <x:c r="C355" t="str">
        <x:v>Automation component 354 / 零件 354</x:v>
      </x:c>
      <x:c r="D355" s="8" t="n">
        <x:v>15</x:v>
      </x:c>
      <x:c r="E355" s="8" t="n">
        <x:v>32.64</x:v>
      </x:c>
      <x:c r="F355" s="8" t="n">
        <x:f>D355*E355</x:f>
        <x:v>489.6</x:v>
      </x:c>
      <x:c r="G355" t="str">
        <x:v>Open</x:v>
      </x:c>
      <x:c r="H355" t="str">
        <x:v>Engineering</x:v>
      </x:c>
      <x:c r="I355" s="10" t="n">
        <x:v>46377</x:v>
      </x:c>
      <x:c r="J355" t="n">
        <x:f>F355-ROUND(F355*0.97,2)</x:f>
        <x:v>14.689999999999998</x:v>
      </x:c>
    </x:row>
    <x:row r="356">
      <x:c r="A356" t="n">
        <x:v>355</x:v>
      </x:c>
      <x:c r="B356" t="str">
        <x:v>PN-01-00355</x:v>
      </x:c>
      <x:c r="C356" t="str">
        <x:v>Automation component 355 / 零件 355</x:v>
      </x:c>
      <x:c r="D356" s="8" t="n">
        <x:v>16</x:v>
      </x:c>
      <x:c r="E356" s="8" t="n">
        <x:v>34.01</x:v>
      </x:c>
      <x:c r="F356" s="8" t="n">
        <x:f>D356*E356</x:f>
        <x:v>544.16</x:v>
      </x:c>
      <x:c r="G356" t="str">
        <x:v>Approved</x:v>
      </x:c>
      <x:c r="H356" t="str">
        <x:v>Quality</x:v>
      </x:c>
      <x:c r="I356" s="10" t="n">
        <x:v>46378</x:v>
      </x:c>
      <x:c r="J356" t="n">
        <x:f>F356-ROUND(F356*0.97,2)</x:f>
        <x:v>16.319999999999936</x:v>
      </x:c>
    </x:row>
    <x:row r="357">
      <x:c r="A357" t="n">
        <x:v>356</x:v>
      </x:c>
      <x:c r="B357" t="str">
        <x:v>PN-01-00356</x:v>
      </x:c>
      <x:c r="C357" t="str">
        <x:v>Automation component 356 / 零件 356</x:v>
      </x:c>
      <x:c r="D357" s="8" t="n">
        <x:v>17</x:v>
      </x:c>
      <x:c r="E357" s="8" t="n">
        <x:v>35.38</x:v>
      </x:c>
      <x:c r="F357" s="8" t="n">
        <x:f>D357*E357</x:f>
        <x:v>601.46</x:v>
      </x:c>
      <x:c r="G357" t="str">
        <x:v>Hold</x:v>
      </x:c>
      <x:c r="H357" t="str">
        <x:v>Production</x:v>
      </x:c>
      <x:c r="I357" s="10" t="n">
        <x:v>46379</x:v>
      </x:c>
      <x:c r="J357" t="n">
        <x:f>F357-ROUND(F357*0.97,2)</x:f>
        <x:v>18.040000000000077</x:v>
      </x:c>
    </x:row>
    <x:row r="358">
      <x:c r="A358" t="n">
        <x:v>357</x:v>
      </x:c>
      <x:c r="B358" t="str">
        <x:v>PN-01-00357</x:v>
      </x:c>
      <x:c r="C358" t="str">
        <x:v>Automation component 357 / 零件 357</x:v>
      </x:c>
      <x:c r="D358" s="8" t="n">
        <x:v>1</x:v>
      </x:c>
      <x:c r="E358" s="8" t="n">
        <x:v>36.75</x:v>
      </x:c>
      <x:c r="F358" s="8" t="n">
        <x:f>D358*E358</x:f>
        <x:v>36.75</x:v>
      </x:c>
      <x:c r="G358" t="str">
        <x:v>Open</x:v>
      </x:c>
      <x:c r="H358" t="str">
        <x:v>Engineering</x:v>
      </x:c>
      <x:c r="I358" s="10" t="n">
        <x:v>46380</x:v>
      </x:c>
      <x:c r="J358" t="n">
        <x:f>F358-ROUND(F358*0.97,2)</x:f>
        <x:v>1.1000000000000014</x:v>
      </x:c>
    </x:row>
    <x:row r="359">
      <x:c r="A359" t="n">
        <x:v>358</x:v>
      </x:c>
      <x:c r="B359" t="str">
        <x:v>PN-01-00358</x:v>
      </x:c>
      <x:c r="C359" t="str">
        <x:v>Automation component 358 / 零件 358</x:v>
      </x:c>
      <x:c r="D359" s="8" t="n">
        <x:v>2</x:v>
      </x:c>
      <x:c r="E359" s="8" t="n">
        <x:v>38.12</x:v>
      </x:c>
      <x:c r="F359" s="8" t="n">
        <x:f>D359*E359</x:f>
        <x:v>76.24</x:v>
      </x:c>
      <x:c r="G359" t="str">
        <x:v>Approved</x:v>
      </x:c>
      <x:c r="H359" t="str">
        <x:v>Quality</x:v>
      </x:c>
      <x:c r="I359" s="10" t="n">
        <x:v>46381</x:v>
      </x:c>
      <x:c r="J359" t="n">
        <x:f>F359-ROUND(F359*0.97,2)</x:f>
        <x:v>2.289999999999992</x:v>
      </x:c>
    </x:row>
    <x:row r="360">
      <x:c r="A360" t="n">
        <x:v>359</x:v>
      </x:c>
      <x:c r="B360" t="str">
        <x:v>PN-01-00359</x:v>
      </x:c>
      <x:c r="C360" t="str">
        <x:v>Automation component 359 / 零件 359</x:v>
      </x:c>
      <x:c r="D360" s="8" t="n">
        <x:v>3</x:v>
      </x:c>
      <x:c r="E360" s="8" t="n">
        <x:v>39.49</x:v>
      </x:c>
      <x:c r="F360" s="8" t="n">
        <x:f>D360*E360</x:f>
        <x:v>118.47</x:v>
      </x:c>
      <x:c r="G360" t="str">
        <x:v>Hold</x:v>
      </x:c>
      <x:c r="H360" t="str">
        <x:v>Production</x:v>
      </x:c>
      <x:c r="I360" s="10" t="n">
        <x:v>46382</x:v>
      </x:c>
      <x:c r="J360" t="n">
        <x:f>F360-ROUND(F360*0.97,2)</x:f>
        <x:v>3.549999999999997</x:v>
      </x:c>
    </x:row>
    <x:row r="361">
      <x:c r="A361" t="n">
        <x:v>360</x:v>
      </x:c>
      <x:c r="B361" t="str">
        <x:v>PN-01-00360</x:v>
      </x:c>
      <x:c r="C361" t="str">
        <x:v>Automation component 360 / 零件 360</x:v>
      </x:c>
      <x:c r="D361" s="8" t="n">
        <x:v>4</x:v>
      </x:c>
      <x:c r="E361" s="8" t="n">
        <x:v>40.86</x:v>
      </x:c>
      <x:c r="F361" s="8" t="n">
        <x:f>D361*E361</x:f>
        <x:v>163.44</x:v>
      </x:c>
      <x:c r="G361" t="str">
        <x:v>Open</x:v>
      </x:c>
      <x:c r="H361" t="str">
        <x:v>Engineering</x:v>
      </x:c>
      <x:c r="I361" s="10" t="n">
        <x:v>46383</x:v>
      </x:c>
      <x:c r="J361" t="n">
        <x:f>F361-ROUND(F361*0.97,2)</x:f>
        <x:v>4.900000000000006</x:v>
      </x:c>
    </x:row>
  </x:sheetData>
  <x:conditionalFormatting sqref="F2:F36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{4F79A556-429C-2BB7-B0FD-56653197DCD2}</x14:id>
        </x:ext>
      </x:extLst>
    </x:cfRule>
  </x:conditionalFormatting>
  <x:dataValidations count="1">
    <x:dataValidation type="list" sqref="G2:G36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e746f3c5ef4f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F79A556-429C-2BB7-B0FD-56653197DCD2}">
            <x14:dataBar gradient="1">
              <x14:cfvo type="min"/>
              <x14:cfvo type="max"/>
              <x14:fillColor rgb="FF4472C4"/>
            </x14:dataBar>
          </x14:cfRule>
          <xm:sqref>F2:F361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PN-02-00001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PN-02-00002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PN-02-00003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PN-02-00004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PN-02-00005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PN-02-00006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PN-02-00007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PN-02-00008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PN-02-00009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PN-02-00010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PN-02-00011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PN-02-00012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PN-02-00013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PN-02-00014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PN-02-00015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PN-02-00016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PN-02-00017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PN-02-00018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PN-02-00019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PN-02-00020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PN-02-00021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PN-02-00022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PN-02-00023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PN-02-00024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PN-02-00025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PN-02-00026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PN-02-00027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PN-02-00028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PN-02-00029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PN-02-00030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PN-02-00031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PN-02-00032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PN-02-00033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PN-02-00034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PN-02-00035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PN-02-00036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PN-02-00037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PN-02-00038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PN-02-00039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PN-02-00040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PN-02-00041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PN-02-00042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PN-02-00043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PN-02-00044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PN-02-00045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PN-02-00046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PN-02-00047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PN-02-00048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PN-02-00049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PN-02-00050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PN-02-00051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PN-02-00052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PN-02-00053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PN-02-00054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PN-02-00055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PN-02-00056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PN-02-00057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PN-02-00058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PN-02-00059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PN-02-00060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PN-02-00061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PN-02-00062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PN-02-00063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PN-02-00064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PN-02-00065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PN-02-00066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PN-02-00067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PN-02-00068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PN-02-00069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PN-02-00070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PN-02-00071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PN-02-00072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PN-02-00073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PN-02-00074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PN-02-00075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PN-02-00076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PN-02-00077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PN-02-00078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PN-02-00079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PN-02-00080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PN-02-00081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PN-02-00082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PN-02-00083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PN-02-00084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PN-02-00085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PN-02-00086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PN-02-00087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PN-02-00088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PN-02-00089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PN-02-00090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PN-02-00091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PN-02-00092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PN-02-00093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PN-02-00094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PN-02-00095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PN-02-00096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PN-02-00097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PN-02-00098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PN-02-00099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PN-02-00100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PN-02-00101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PN-02-00102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PN-02-00103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PN-02-00104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PN-02-00105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PN-02-00106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PN-02-00107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PN-02-00108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PN-02-00109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PN-02-00110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PN-02-00111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PN-02-00112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PN-02-00113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PN-02-00114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PN-02-00115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PN-02-00116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PN-02-00117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PN-02-00118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PN-02-00119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PN-02-00120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PN-02-00121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PN-02-00122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PN-02-00123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PN-02-00124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PN-02-00125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PN-02-00126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PN-02-00127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PN-02-00128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PN-02-00129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PN-02-00130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PN-02-00131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PN-02-00132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PN-02-00133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PN-02-00134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PN-02-00135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PN-02-00136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PN-02-00137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PN-02-00138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PN-02-00139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PN-02-00140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PN-02-00141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PN-02-00142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PN-02-00143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PN-02-00144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PN-02-00145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PN-02-00146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PN-02-00147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PN-02-00148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PN-02-00149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PN-02-00150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PN-02-00151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PN-02-00152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PN-02-00153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PN-02-00154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PN-02-00155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PN-02-00156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PN-02-00157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PN-02-00158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PN-02-00159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PN-02-00160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PN-02-00161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PN-02-00162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PN-02-00163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PN-02-00164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PN-02-00165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PN-02-00166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PN-02-00167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PN-02-00168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PN-02-00169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PN-02-00170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PN-02-00171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PN-02-00172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PN-02-00173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PN-02-00174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PN-02-00175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PN-02-00176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PN-02-00177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PN-02-00178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PN-02-00179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PN-02-00180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PN-02-00181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PN-02-00182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PN-02-00183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PN-02-00184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PN-02-00185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PN-02-00186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PN-02-00187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PN-02-00188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PN-02-00189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PN-02-00190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PN-02-00191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PN-02-00192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PN-02-00193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PN-02-00194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PN-02-00195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PN-02-00196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PN-02-00197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PN-02-00198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PN-02-00199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PN-02-00200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PN-02-00201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PN-02-00202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PN-02-00203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PN-02-00204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PN-02-00205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PN-02-00206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PN-02-00207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PN-02-00208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PN-02-00209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PN-02-00210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PN-02-00211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PN-02-00212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PN-02-00213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PN-02-00214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PN-02-00215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PN-02-00216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PN-02-00217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PN-02-00218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PN-02-00219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PN-02-00220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PN-02-00221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PN-02-00222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PN-02-00223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PN-02-00224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PN-02-00225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PN-02-00226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PN-02-00227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PN-02-00228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PN-02-00229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PN-02-00230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PN-02-00231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PN-02-00232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PN-02-00233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PN-02-00234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PN-02-00235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PN-02-00236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PN-02-00237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PN-02-00238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PN-02-00239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PN-02-00240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PN-02-00241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PN-02-00242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PN-02-00243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PN-02-00244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PN-02-00245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PN-02-00246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PN-02-00247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PN-02-00248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PN-02-00249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PN-02-00250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PN-02-00251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PN-02-00252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PN-02-00253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PN-02-00254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PN-02-00255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PN-02-00256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PN-02-00257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PN-02-00258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PN-02-00259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PN-02-00260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PN-02-00261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PN-02-00262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PN-02-00263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PN-02-00264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PN-02-00265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PN-02-00266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PN-02-00267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PN-02-00268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PN-02-00269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PN-02-00270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PN-02-00271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PN-02-00272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PN-02-00273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PN-02-00274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PN-02-00275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PN-02-00276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PN-02-00277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PN-02-00278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PN-02-00279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PN-02-00280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PN-02-00281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PN-02-00282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PN-02-00283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PN-02-00284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PN-02-00285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PN-02-00286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PN-02-00287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PN-02-00288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PN-02-00289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PN-02-00290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PN-02-00291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PN-02-00292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PN-02-00293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PN-02-00294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PN-02-00295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PN-02-00296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PN-02-00297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PN-02-00298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PN-02-00299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PN-02-00300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PN-02-00301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PN-02-00302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PN-02-00303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PN-02-00304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PN-02-00305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PN-02-00306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PN-02-00307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PN-02-00308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PN-02-00309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PN-02-00310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PN-02-00311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PN-02-00312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PN-02-00313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PN-02-00314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PN-02-00315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PN-02-00316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PN-02-00317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PN-02-00318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PN-02-00319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PN-02-00320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PN-02-00321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PN-02-00322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PN-02-00323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PN-02-00324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PN-02-00325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PN-02-00326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PN-02-00327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PN-02-00328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PN-02-00329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PN-02-00330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PN-02-00331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PN-02-00332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PN-02-00333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PN-02-00334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PN-02-00335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PN-02-00336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PN-02-00337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PN-02-00338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PN-02-00339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PN-02-00340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  <x:row r="342">
      <x:c r="A342" t="n">
        <x:v>341</x:v>
      </x:c>
      <x:c r="B342" t="str">
        <x:v>PN-02-00341</x:v>
      </x:c>
      <x:c r="C342" t="str">
        <x:v>Automation component 341 / 零件 341</x:v>
      </x:c>
      <x:c r="D342" s="8" t="n">
        <x:v>2</x:v>
      </x:c>
      <x:c r="E342" s="8" t="n">
        <x:v>14.83</x:v>
      </x:c>
      <x:c r="F342" s="8" t="n">
        <x:f>D342*E342</x:f>
        <x:v>29.66</x:v>
      </x:c>
      <x:c r="G342" t="str">
        <x:v>Hold</x:v>
      </x:c>
      <x:c r="H342" t="str">
        <x:v>Production</x:v>
      </x:c>
      <x:c r="I342" s="10" t="n">
        <x:v>46364</x:v>
      </x:c>
      <x:c r="J342" t="n">
        <x:f>F342-ROUND(F342*0.97,2)</x:f>
        <x:v>0.8900000000000006</x:v>
      </x:c>
    </x:row>
    <x:row r="343">
      <x:c r="A343" t="n">
        <x:v>342</x:v>
      </x:c>
      <x:c r="B343" t="str">
        <x:v>PN-02-00342</x:v>
      </x:c>
      <x:c r="C343" t="str">
        <x:v>Automation component 342 / 零件 342</x:v>
      </x:c>
      <x:c r="D343" s="8" t="n">
        <x:v>3</x:v>
      </x:c>
      <x:c r="E343" s="8" t="n">
        <x:v>16.2</x:v>
      </x:c>
      <x:c r="F343" s="8" t="n">
        <x:f>D343*E343</x:f>
        <x:v>48.599999999999994</x:v>
      </x:c>
      <x:c r="G343" t="str">
        <x:v>Open</x:v>
      </x:c>
      <x:c r="H343" t="str">
        <x:v>Engineering</x:v>
      </x:c>
      <x:c r="I343" s="10" t="n">
        <x:v>46365</x:v>
      </x:c>
      <x:c r="J343" t="n">
        <x:f>F343-ROUND(F343*0.97,2)</x:f>
        <x:v>1.4599999999999937</x:v>
      </x:c>
    </x:row>
    <x:row r="344">
      <x:c r="A344" t="n">
        <x:v>343</x:v>
      </x:c>
      <x:c r="B344" t="str">
        <x:v>PN-02-00343</x:v>
      </x:c>
      <x:c r="C344" t="str">
        <x:v>Automation component 343 / 零件 343</x:v>
      </x:c>
      <x:c r="D344" s="8" t="n">
        <x:v>4</x:v>
      </x:c>
      <x:c r="E344" s="8" t="n">
        <x:v>17.57</x:v>
      </x:c>
      <x:c r="F344" s="8" t="n">
        <x:f>D344*E344</x:f>
        <x:v>70.28</x:v>
      </x:c>
      <x:c r="G344" t="str">
        <x:v>Approved</x:v>
      </x:c>
      <x:c r="H344" t="str">
        <x:v>Quality</x:v>
      </x:c>
      <x:c r="I344" s="10" t="n">
        <x:v>46366</x:v>
      </x:c>
      <x:c r="J344" t="n">
        <x:f>F344-ROUND(F344*0.97,2)</x:f>
        <x:v>2.1099999999999994</x:v>
      </x:c>
    </x:row>
    <x:row r="345">
      <x:c r="A345" t="n">
        <x:v>344</x:v>
      </x:c>
      <x:c r="B345" t="str">
        <x:v>PN-02-00344</x:v>
      </x:c>
      <x:c r="C345" t="str">
        <x:v>Automation component 344 / 零件 344</x:v>
      </x:c>
      <x:c r="D345" s="8" t="n">
        <x:v>5</x:v>
      </x:c>
      <x:c r="E345" s="8" t="n">
        <x:v>18.94</x:v>
      </x:c>
      <x:c r="F345" s="8" t="n">
        <x:f>D345*E345</x:f>
        <x:v>94.7</x:v>
      </x:c>
      <x:c r="G345" t="str">
        <x:v>Hold</x:v>
      </x:c>
      <x:c r="H345" t="str">
        <x:v>Production</x:v>
      </x:c>
      <x:c r="I345" s="10" t="n">
        <x:v>46367</x:v>
      </x:c>
      <x:c r="J345" t="n">
        <x:f>F345-ROUND(F345*0.97,2)</x:f>
        <x:v>2.8400000000000034</x:v>
      </x:c>
    </x:row>
    <x:row r="346">
      <x:c r="A346" t="n">
        <x:v>345</x:v>
      </x:c>
      <x:c r="B346" t="str">
        <x:v>PN-02-00345</x:v>
      </x:c>
      <x:c r="C346" t="str">
        <x:v>Automation component 345 / 零件 345</x:v>
      </x:c>
      <x:c r="D346" s="8" t="n">
        <x:v>6</x:v>
      </x:c>
      <x:c r="E346" s="8" t="n">
        <x:v>20.31</x:v>
      </x:c>
      <x:c r="F346" s="8" t="n">
        <x:f>D346*E346</x:f>
        <x:v>121.85999999999999</x:v>
      </x:c>
      <x:c r="G346" t="str">
        <x:v>Open</x:v>
      </x:c>
      <x:c r="H346" t="str">
        <x:v>Engineering</x:v>
      </x:c>
      <x:c r="I346" s="10" t="n">
        <x:v>46368</x:v>
      </x:c>
      <x:c r="J346" t="n">
        <x:f>F346-ROUND(F346*0.97,2)</x:f>
        <x:v>3.6599999999999824</x:v>
      </x:c>
    </x:row>
    <x:row r="347">
      <x:c r="A347" t="n">
        <x:v>346</x:v>
      </x:c>
      <x:c r="B347" t="str">
        <x:v>PN-02-00346</x:v>
      </x:c>
      <x:c r="C347" t="str">
        <x:v>Automation component 346 / 零件 346</x:v>
      </x:c>
      <x:c r="D347" s="8" t="n">
        <x:v>7</x:v>
      </x:c>
      <x:c r="E347" s="8" t="n">
        <x:v>21.68</x:v>
      </x:c>
      <x:c r="F347" s="8" t="n">
        <x:f>D347*E347</x:f>
        <x:v>151.76</x:v>
      </x:c>
      <x:c r="G347" t="str">
        <x:v>Approved</x:v>
      </x:c>
      <x:c r="H347" t="str">
        <x:v>Quality</x:v>
      </x:c>
      <x:c r="I347" s="10" t="n">
        <x:v>46369</x:v>
      </x:c>
      <x:c r="J347" t="n">
        <x:f>F347-ROUND(F347*0.97,2)</x:f>
        <x:v>4.549999999999983</x:v>
      </x:c>
    </x:row>
    <x:row r="348">
      <x:c r="A348" t="n">
        <x:v>347</x:v>
      </x:c>
      <x:c r="B348" t="str">
        <x:v>PN-02-00347</x:v>
      </x:c>
      <x:c r="C348" t="str">
        <x:v>Automation component 347 / 零件 347</x:v>
      </x:c>
      <x:c r="D348" s="8" t="n">
        <x:v>8</x:v>
      </x:c>
      <x:c r="E348" s="8" t="n">
        <x:v>23.05</x:v>
      </x:c>
      <x:c r="F348" s="8" t="n">
        <x:f>D348*E348</x:f>
        <x:v>184.4</x:v>
      </x:c>
      <x:c r="G348" t="str">
        <x:v>Hold</x:v>
      </x:c>
      <x:c r="H348" t="str">
        <x:v>Production</x:v>
      </x:c>
      <x:c r="I348" s="10" t="n">
        <x:v>46370</x:v>
      </x:c>
      <x:c r="J348" t="n">
        <x:f>F348-ROUND(F348*0.97,2)</x:f>
        <x:v>5.530000000000001</x:v>
      </x:c>
    </x:row>
    <x:row r="349">
      <x:c r="A349" t="n">
        <x:v>348</x:v>
      </x:c>
      <x:c r="B349" t="str">
        <x:v>PN-02-00348</x:v>
      </x:c>
      <x:c r="C349" t="str">
        <x:v>Automation component 348 / 零件 348</x:v>
      </x:c>
      <x:c r="D349" s="8" t="n">
        <x:v>9</x:v>
      </x:c>
      <x:c r="E349" s="8" t="n">
        <x:v>24.42</x:v>
      </x:c>
      <x:c r="F349" s="8" t="n">
        <x:f>D349*E349</x:f>
        <x:v>219.78000000000003</x:v>
      </x:c>
      <x:c r="G349" t="str">
        <x:v>Open</x:v>
      </x:c>
      <x:c r="H349" t="str">
        <x:v>Engineering</x:v>
      </x:c>
      <x:c r="I349" s="10" t="n">
        <x:v>46371</x:v>
      </x:c>
      <x:c r="J349" t="n">
        <x:f>F349-ROUND(F349*0.97,2)</x:f>
        <x:v>6.590000000000032</x:v>
      </x:c>
    </x:row>
    <x:row r="350">
      <x:c r="A350" t="n">
        <x:v>349</x:v>
      </x:c>
      <x:c r="B350" t="str">
        <x:v>PN-02-00349</x:v>
      </x:c>
      <x:c r="C350" t="str">
        <x:v>Automation component 349 / 零件 349</x:v>
      </x:c>
      <x:c r="D350" s="8" t="n">
        <x:v>10</x:v>
      </x:c>
      <x:c r="E350" s="8" t="n">
        <x:v>25.79</x:v>
      </x:c>
      <x:c r="F350" s="8" t="n">
        <x:f>D350*E350</x:f>
        <x:v>257.9</x:v>
      </x:c>
      <x:c r="G350" t="str">
        <x:v>Approved</x:v>
      </x:c>
      <x:c r="H350" t="str">
        <x:v>Quality</x:v>
      </x:c>
      <x:c r="I350" s="10" t="n">
        <x:v>46372</x:v>
      </x:c>
      <x:c r="J350" t="n">
        <x:f>F350-ROUND(F350*0.97,2)</x:f>
        <x:v>7.739999999999981</x:v>
      </x:c>
    </x:row>
    <x:row r="351">
      <x:c r="A351" t="n">
        <x:v>350</x:v>
      </x:c>
      <x:c r="B351" t="str">
        <x:v>PN-02-00350</x:v>
      </x:c>
      <x:c r="C351" t="str">
        <x:v>Automation component 350 / 零件 350</x:v>
      </x:c>
      <x:c r="D351" s="8" t="n">
        <x:v>11</x:v>
      </x:c>
      <x:c r="E351" s="8" t="n">
        <x:v>27.16</x:v>
      </x:c>
      <x:c r="F351" s="8" t="n">
        <x:f>D351*E351</x:f>
        <x:v>298.76</x:v>
      </x:c>
      <x:c r="G351" t="str">
        <x:v>Hold</x:v>
      </x:c>
      <x:c r="H351" t="str">
        <x:v>Production</x:v>
      </x:c>
      <x:c r="I351" s="10" t="n">
        <x:v>46373</x:v>
      </x:c>
      <x:c r="J351" t="n">
        <x:f>F351-ROUND(F351*0.97,2)</x:f>
        <x:v>8.95999999999998</x:v>
      </x:c>
    </x:row>
    <x:row r="352">
      <x:c r="A352" t="n">
        <x:v>351</x:v>
      </x:c>
      <x:c r="B352" t="str">
        <x:v>PN-02-00351</x:v>
      </x:c>
      <x:c r="C352" t="str">
        <x:v>Automation component 351 / 零件 351</x:v>
      </x:c>
      <x:c r="D352" s="8" t="n">
        <x:v>12</x:v>
      </x:c>
      <x:c r="E352" s="8" t="n">
        <x:v>28.53</x:v>
      </x:c>
      <x:c r="F352" s="8" t="n">
        <x:f>D352*E352</x:f>
        <x:v>342.36</x:v>
      </x:c>
      <x:c r="G352" t="str">
        <x:v>Open</x:v>
      </x:c>
      <x:c r="H352" t="str">
        <x:v>Engineering</x:v>
      </x:c>
      <x:c r="I352" s="10" t="n">
        <x:v>46374</x:v>
      </x:c>
      <x:c r="J352" t="n">
        <x:f>F352-ROUND(F352*0.97,2)</x:f>
        <x:v>10.270000000000039</x:v>
      </x:c>
    </x:row>
    <x:row r="353">
      <x:c r="A353" t="n">
        <x:v>352</x:v>
      </x:c>
      <x:c r="B353" t="str">
        <x:v>PN-02-00352</x:v>
      </x:c>
      <x:c r="C353" t="str">
        <x:v>Automation component 352 / 零件 352</x:v>
      </x:c>
      <x:c r="D353" s="8" t="n">
        <x:v>13</x:v>
      </x:c>
      <x:c r="E353" s="8" t="n">
        <x:v>29.9</x:v>
      </x:c>
      <x:c r="F353" s="8" t="n">
        <x:f>D353*E353</x:f>
        <x:v>388.7</x:v>
      </x:c>
      <x:c r="G353" t="str">
        <x:v>Approved</x:v>
      </x:c>
      <x:c r="H353" t="str">
        <x:v>Quality</x:v>
      </x:c>
      <x:c r="I353" s="10" t="n">
        <x:v>46375</x:v>
      </x:c>
      <x:c r="J353" t="n">
        <x:f>F353-ROUND(F353*0.97,2)</x:f>
        <x:v>11.659999999999968</x:v>
      </x:c>
    </x:row>
    <x:row r="354">
      <x:c r="A354" t="n">
        <x:v>353</x:v>
      </x:c>
      <x:c r="B354" t="str">
        <x:v>PN-02-00353</x:v>
      </x:c>
      <x:c r="C354" t="str">
        <x:v>Automation component 353 / 零件 353</x:v>
      </x:c>
      <x:c r="D354" s="8" t="n">
        <x:v>14</x:v>
      </x:c>
      <x:c r="E354" s="8" t="n">
        <x:v>31.27</x:v>
      </x:c>
      <x:c r="F354" s="8" t="n">
        <x:f>D354*E354</x:f>
        <x:v>437.78</x:v>
      </x:c>
      <x:c r="G354" t="str">
        <x:v>Hold</x:v>
      </x:c>
      <x:c r="H354" t="str">
        <x:v>Production</x:v>
      </x:c>
      <x:c r="I354" s="10" t="n">
        <x:v>46376</x:v>
      </x:c>
      <x:c r="J354" t="n">
        <x:f>F354-ROUND(F354*0.97,2)</x:f>
        <x:v>13.129999999999995</x:v>
      </x:c>
    </x:row>
    <x:row r="355">
      <x:c r="A355" t="n">
        <x:v>354</x:v>
      </x:c>
      <x:c r="B355" t="str">
        <x:v>PN-02-00354</x:v>
      </x:c>
      <x:c r="C355" t="str">
        <x:v>Automation component 354 / 零件 354</x:v>
      </x:c>
      <x:c r="D355" s="8" t="n">
        <x:v>15</x:v>
      </x:c>
      <x:c r="E355" s="8" t="n">
        <x:v>32.64</x:v>
      </x:c>
      <x:c r="F355" s="8" t="n">
        <x:f>D355*E355</x:f>
        <x:v>489.6</x:v>
      </x:c>
      <x:c r="G355" t="str">
        <x:v>Open</x:v>
      </x:c>
      <x:c r="H355" t="str">
        <x:v>Engineering</x:v>
      </x:c>
      <x:c r="I355" s="10" t="n">
        <x:v>46377</x:v>
      </x:c>
      <x:c r="J355" t="n">
        <x:f>F355-ROUND(F355*0.97,2)</x:f>
        <x:v>14.689999999999998</x:v>
      </x:c>
    </x:row>
    <x:row r="356">
      <x:c r="A356" t="n">
        <x:v>355</x:v>
      </x:c>
      <x:c r="B356" t="str">
        <x:v>PN-02-00355</x:v>
      </x:c>
      <x:c r="C356" t="str">
        <x:v>Automation component 355 / 零件 355</x:v>
      </x:c>
      <x:c r="D356" s="8" t="n">
        <x:v>16</x:v>
      </x:c>
      <x:c r="E356" s="8" t="n">
        <x:v>34.01</x:v>
      </x:c>
      <x:c r="F356" s="8" t="n">
        <x:f>D356*E356</x:f>
        <x:v>544.16</x:v>
      </x:c>
      <x:c r="G356" t="str">
        <x:v>Approved</x:v>
      </x:c>
      <x:c r="H356" t="str">
        <x:v>Quality</x:v>
      </x:c>
      <x:c r="I356" s="10" t="n">
        <x:v>46378</x:v>
      </x:c>
      <x:c r="J356" t="n">
        <x:f>F356-ROUND(F356*0.97,2)</x:f>
        <x:v>16.319999999999936</x:v>
      </x:c>
    </x:row>
    <x:row r="357">
      <x:c r="A357" t="n">
        <x:v>356</x:v>
      </x:c>
      <x:c r="B357" t="str">
        <x:v>PN-02-00356</x:v>
      </x:c>
      <x:c r="C357" t="str">
        <x:v>Automation component 356 / 零件 356</x:v>
      </x:c>
      <x:c r="D357" s="8" t="n">
        <x:v>17</x:v>
      </x:c>
      <x:c r="E357" s="8" t="n">
        <x:v>35.38</x:v>
      </x:c>
      <x:c r="F357" s="8" t="n">
        <x:f>D357*E357</x:f>
        <x:v>601.46</x:v>
      </x:c>
      <x:c r="G357" t="str">
        <x:v>Hold</x:v>
      </x:c>
      <x:c r="H357" t="str">
        <x:v>Production</x:v>
      </x:c>
      <x:c r="I357" s="10" t="n">
        <x:v>46379</x:v>
      </x:c>
      <x:c r="J357" t="n">
        <x:f>F357-ROUND(F357*0.97,2)</x:f>
        <x:v>18.040000000000077</x:v>
      </x:c>
    </x:row>
    <x:row r="358">
      <x:c r="A358" t="n">
        <x:v>357</x:v>
      </x:c>
      <x:c r="B358" t="str">
        <x:v>PN-02-00357</x:v>
      </x:c>
      <x:c r="C358" t="str">
        <x:v>Automation component 357 / 零件 357</x:v>
      </x:c>
      <x:c r="D358" s="8" t="n">
        <x:v>1</x:v>
      </x:c>
      <x:c r="E358" s="8" t="n">
        <x:v>36.75</x:v>
      </x:c>
      <x:c r="F358" s="8" t="n">
        <x:f>D358*E358</x:f>
        <x:v>36.75</x:v>
      </x:c>
      <x:c r="G358" t="str">
        <x:v>Open</x:v>
      </x:c>
      <x:c r="H358" t="str">
        <x:v>Engineering</x:v>
      </x:c>
      <x:c r="I358" s="10" t="n">
        <x:v>46380</x:v>
      </x:c>
      <x:c r="J358" t="n">
        <x:f>F358-ROUND(F358*0.97,2)</x:f>
        <x:v>1.1000000000000014</x:v>
      </x:c>
    </x:row>
    <x:row r="359">
      <x:c r="A359" t="n">
        <x:v>358</x:v>
      </x:c>
      <x:c r="B359" t="str">
        <x:v>PN-02-00358</x:v>
      </x:c>
      <x:c r="C359" t="str">
        <x:v>Automation component 358 / 零件 358</x:v>
      </x:c>
      <x:c r="D359" s="8" t="n">
        <x:v>2</x:v>
      </x:c>
      <x:c r="E359" s="8" t="n">
        <x:v>38.12</x:v>
      </x:c>
      <x:c r="F359" s="8" t="n">
        <x:f>D359*E359</x:f>
        <x:v>76.24</x:v>
      </x:c>
      <x:c r="G359" t="str">
        <x:v>Approved</x:v>
      </x:c>
      <x:c r="H359" t="str">
        <x:v>Quality</x:v>
      </x:c>
      <x:c r="I359" s="10" t="n">
        <x:v>46381</x:v>
      </x:c>
      <x:c r="J359" t="n">
        <x:f>F359-ROUND(F359*0.97,2)</x:f>
        <x:v>2.289999999999992</x:v>
      </x:c>
    </x:row>
    <x:row r="360">
      <x:c r="A360" t="n">
        <x:v>359</x:v>
      </x:c>
      <x:c r="B360" t="str">
        <x:v>PN-02-00359</x:v>
      </x:c>
      <x:c r="C360" t="str">
        <x:v>Automation component 359 / 零件 359</x:v>
      </x:c>
      <x:c r="D360" s="8" t="n">
        <x:v>3</x:v>
      </x:c>
      <x:c r="E360" s="8" t="n">
        <x:v>39.49</x:v>
      </x:c>
      <x:c r="F360" s="8" t="n">
        <x:f>D360*E360</x:f>
        <x:v>118.47</x:v>
      </x:c>
      <x:c r="G360" t="str">
        <x:v>Hold</x:v>
      </x:c>
      <x:c r="H360" t="str">
        <x:v>Production</x:v>
      </x:c>
      <x:c r="I360" s="10" t="n">
        <x:v>46382</x:v>
      </x:c>
      <x:c r="J360" t="n">
        <x:f>F360-ROUND(F360*0.97,2)</x:f>
        <x:v>3.549999999999997</x:v>
      </x:c>
    </x:row>
    <x:row r="361">
      <x:c r="A361" t="n">
        <x:v>360</x:v>
      </x:c>
      <x:c r="B361" t="str">
        <x:v>PN-02-00360</x:v>
      </x:c>
      <x:c r="C361" t="str">
        <x:v>Automation component 360 / 零件 360</x:v>
      </x:c>
      <x:c r="D361" s="8" t="n">
        <x:v>4</x:v>
      </x:c>
      <x:c r="E361" s="8" t="n">
        <x:v>40.86</x:v>
      </x:c>
      <x:c r="F361" s="8" t="n">
        <x:f>D361*E361</x:f>
        <x:v>163.44</x:v>
      </x:c>
      <x:c r="G361" t="str">
        <x:v>Open</x:v>
      </x:c>
      <x:c r="H361" t="str">
        <x:v>Engineering</x:v>
      </x:c>
      <x:c r="I361" s="10" t="n">
        <x:v>46383</x:v>
      </x:c>
      <x:c r="J361" t="n">
        <x:f>F361-ROUND(F361*0.97,2)</x:f>
        <x:v>4.900000000000006</x:v>
      </x:c>
    </x:row>
  </x:sheetData>
  <x:conditionalFormatting sqref="F2:F36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{1285644C-386A-DF5E-FDE9-E3DF2101B9CC}</x14:id>
        </x:ext>
      </x:extLst>
    </x:cfRule>
  </x:conditionalFormatting>
  <x:dataValidations count="1">
    <x:dataValidation type="list" sqref="G2:G36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6d2fc6f884c5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85644C-386A-DF5E-FDE9-E3DF2101B9CC}">
            <x14:dataBar gradient="1">
              <x14:cfvo type="min"/>
              <x14:cfvo type="max"/>
              <x14:fillColor rgb="FF4472C4"/>
            </x14:dataBar>
          </x14:cfRule>
          <xm:sqref>F2:F361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PN-03-00001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PN-03-00002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PN-03-00003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PN-03-00004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PN-03-00005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PN-03-00006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PN-03-00007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PN-03-00008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PN-03-00009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PN-03-00010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PN-03-00011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PN-03-00012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PN-03-00013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PN-03-00014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PN-03-00015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PN-03-00016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PN-03-00017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PN-03-00018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PN-03-00019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PN-03-00020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PN-03-00021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PN-03-00022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PN-03-00023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PN-03-00024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PN-03-00025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PN-03-00026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PN-03-00027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PN-03-00028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PN-03-00029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PN-03-00030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PN-03-00031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PN-03-00032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PN-03-00033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PN-03-00034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PN-03-00035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PN-03-00036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PN-03-00037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PN-03-00038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PN-03-00039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PN-03-00040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PN-03-00041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PN-03-00042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PN-03-00043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PN-03-00044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PN-03-00045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PN-03-00046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PN-03-00047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PN-03-00048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PN-03-00049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PN-03-00050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PN-03-00051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PN-03-00052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PN-03-00053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PN-03-00054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PN-03-00055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PN-03-00056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PN-03-00057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PN-03-00058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PN-03-00059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PN-03-00060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PN-03-00061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PN-03-00062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PN-03-00063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PN-03-00064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PN-03-00065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PN-03-00066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PN-03-00067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PN-03-00068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PN-03-00069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PN-03-00070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PN-03-00071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PN-03-00072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PN-03-00073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PN-03-00074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PN-03-00075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PN-03-00076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PN-03-00077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PN-03-00078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PN-03-00079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PN-03-00080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PN-03-00081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PN-03-00082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PN-03-00083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PN-03-00084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PN-03-00085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PN-03-00086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PN-03-00087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PN-03-00088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PN-03-00089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PN-03-00090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PN-03-00091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PN-03-00092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PN-03-00093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PN-03-00094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PN-03-00095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PN-03-00096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PN-03-00097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PN-03-00098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PN-03-00099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PN-03-00100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PN-03-00101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PN-03-00102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PN-03-00103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PN-03-00104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PN-03-00105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PN-03-00106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PN-03-00107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PN-03-00108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PN-03-00109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PN-03-00110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PN-03-00111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PN-03-00112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PN-03-00113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PN-03-00114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PN-03-00115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PN-03-00116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PN-03-00117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PN-03-00118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PN-03-00119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PN-03-00120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PN-03-00121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PN-03-00122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PN-03-00123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PN-03-00124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PN-03-00125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PN-03-00126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PN-03-00127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PN-03-00128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PN-03-00129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PN-03-00130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PN-03-00131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PN-03-00132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PN-03-00133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PN-03-00134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PN-03-00135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PN-03-00136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PN-03-00137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PN-03-00138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PN-03-00139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PN-03-00140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PN-03-00141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PN-03-00142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PN-03-00143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PN-03-00144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PN-03-00145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PN-03-00146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PN-03-00147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PN-03-00148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PN-03-00149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PN-03-00150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PN-03-00151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PN-03-00152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PN-03-00153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PN-03-00154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PN-03-00155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PN-03-00156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PN-03-00157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PN-03-00158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PN-03-00159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PN-03-00160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PN-03-00161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PN-03-00162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PN-03-00163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PN-03-00164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PN-03-00165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PN-03-00166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PN-03-00167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PN-03-00168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PN-03-00169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PN-03-00170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PN-03-00171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PN-03-00172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PN-03-00173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PN-03-00174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PN-03-00175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PN-03-00176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PN-03-00177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PN-03-00178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PN-03-00179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PN-03-00180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PN-03-00181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PN-03-00182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PN-03-00183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PN-03-00184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PN-03-00185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PN-03-00186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PN-03-00187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PN-03-00188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PN-03-00189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PN-03-00190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PN-03-00191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PN-03-00192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PN-03-00193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PN-03-00194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PN-03-00195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PN-03-00196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PN-03-00197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PN-03-00198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PN-03-00199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PN-03-00200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PN-03-00201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PN-03-00202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PN-03-00203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PN-03-00204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PN-03-00205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PN-03-00206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PN-03-00207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PN-03-00208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PN-03-00209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PN-03-00210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PN-03-00211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PN-03-00212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PN-03-00213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PN-03-00214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PN-03-00215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PN-03-00216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PN-03-00217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PN-03-00218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PN-03-00219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PN-03-00220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PN-03-00221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PN-03-00222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PN-03-00223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PN-03-00224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PN-03-00225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PN-03-00226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PN-03-00227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PN-03-00228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PN-03-00229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PN-03-00230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PN-03-00231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PN-03-00232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PN-03-00233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PN-03-00234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PN-03-00235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PN-03-00236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PN-03-00237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PN-03-00238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PN-03-00239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PN-03-00240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PN-03-00241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PN-03-00242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PN-03-00243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PN-03-00244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PN-03-00245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PN-03-00246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PN-03-00247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PN-03-00248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PN-03-00249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PN-03-00250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PN-03-00251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PN-03-00252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PN-03-00253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PN-03-00254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PN-03-00255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PN-03-00256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PN-03-00257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PN-03-00258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PN-03-00259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PN-03-00260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PN-03-00261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PN-03-00262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PN-03-00263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PN-03-00264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PN-03-00265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PN-03-00266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PN-03-00267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PN-03-00268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PN-03-00269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PN-03-00270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PN-03-00271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PN-03-00272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PN-03-00273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PN-03-00274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PN-03-00275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PN-03-00276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PN-03-00277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PN-03-00278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PN-03-00279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PN-03-00280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PN-03-00281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PN-03-00282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PN-03-00283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PN-03-00284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PN-03-00285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PN-03-00286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PN-03-00287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PN-03-00288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PN-03-00289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PN-03-00290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PN-03-00291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PN-03-00292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PN-03-00293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PN-03-00294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PN-03-00295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PN-03-00296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PN-03-00297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PN-03-00298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PN-03-00299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PN-03-00300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PN-03-00301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PN-03-00302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PN-03-00303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PN-03-00304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PN-03-00305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PN-03-00306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PN-03-00307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PN-03-00308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PN-03-00309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PN-03-00310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PN-03-00311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PN-03-00312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PN-03-00313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PN-03-00314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PN-03-00315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PN-03-00316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PN-03-00317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PN-03-00318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PN-03-00319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PN-03-00320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PN-03-00321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PN-03-00322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PN-03-00323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PN-03-00324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PN-03-00325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PN-03-00326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PN-03-00327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PN-03-00328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PN-03-00329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PN-03-00330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PN-03-00331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PN-03-00332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PN-03-00333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PN-03-00334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PN-03-00335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PN-03-00336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PN-03-00337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PN-03-00338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PN-03-00339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PN-03-00340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  <x:row r="342">
      <x:c r="A342" t="n">
        <x:v>341</x:v>
      </x:c>
      <x:c r="B342" t="str">
        <x:v>PN-03-00341</x:v>
      </x:c>
      <x:c r="C342" t="str">
        <x:v>Automation component 341 / 零件 341</x:v>
      </x:c>
      <x:c r="D342" s="8" t="n">
        <x:v>2</x:v>
      </x:c>
      <x:c r="E342" s="8" t="n">
        <x:v>14.83</x:v>
      </x:c>
      <x:c r="F342" s="8" t="n">
        <x:f>D342*E342</x:f>
        <x:v>29.66</x:v>
      </x:c>
      <x:c r="G342" t="str">
        <x:v>Hold</x:v>
      </x:c>
      <x:c r="H342" t="str">
        <x:v>Production</x:v>
      </x:c>
      <x:c r="I342" s="10" t="n">
        <x:v>46364</x:v>
      </x:c>
      <x:c r="J342" t="n">
        <x:f>F342-ROUND(F342*0.97,2)</x:f>
        <x:v>0.8900000000000006</x:v>
      </x:c>
    </x:row>
    <x:row r="343">
      <x:c r="A343" t="n">
        <x:v>342</x:v>
      </x:c>
      <x:c r="B343" t="str">
        <x:v>PN-03-00342</x:v>
      </x:c>
      <x:c r="C343" t="str">
        <x:v>Automation component 342 / 零件 342</x:v>
      </x:c>
      <x:c r="D343" s="8" t="n">
        <x:v>3</x:v>
      </x:c>
      <x:c r="E343" s="8" t="n">
        <x:v>16.2</x:v>
      </x:c>
      <x:c r="F343" s="8" t="n">
        <x:f>D343*E343</x:f>
        <x:v>48.599999999999994</x:v>
      </x:c>
      <x:c r="G343" t="str">
        <x:v>Open</x:v>
      </x:c>
      <x:c r="H343" t="str">
        <x:v>Engineering</x:v>
      </x:c>
      <x:c r="I343" s="10" t="n">
        <x:v>46365</x:v>
      </x:c>
      <x:c r="J343" t="n">
        <x:f>F343-ROUND(F343*0.97,2)</x:f>
        <x:v>1.4599999999999937</x:v>
      </x:c>
    </x:row>
    <x:row r="344">
      <x:c r="A344" t="n">
        <x:v>343</x:v>
      </x:c>
      <x:c r="B344" t="str">
        <x:v>PN-03-00343</x:v>
      </x:c>
      <x:c r="C344" t="str">
        <x:v>Automation component 343 / 零件 343</x:v>
      </x:c>
      <x:c r="D344" s="8" t="n">
        <x:v>4</x:v>
      </x:c>
      <x:c r="E344" s="8" t="n">
        <x:v>17.57</x:v>
      </x:c>
      <x:c r="F344" s="8" t="n">
        <x:f>D344*E344</x:f>
        <x:v>70.28</x:v>
      </x:c>
      <x:c r="G344" t="str">
        <x:v>Approved</x:v>
      </x:c>
      <x:c r="H344" t="str">
        <x:v>Quality</x:v>
      </x:c>
      <x:c r="I344" s="10" t="n">
        <x:v>46366</x:v>
      </x:c>
      <x:c r="J344" t="n">
        <x:f>F344-ROUND(F344*0.97,2)</x:f>
        <x:v>2.1099999999999994</x:v>
      </x:c>
    </x:row>
    <x:row r="345">
      <x:c r="A345" t="n">
        <x:v>344</x:v>
      </x:c>
      <x:c r="B345" t="str">
        <x:v>PN-03-00344</x:v>
      </x:c>
      <x:c r="C345" t="str">
        <x:v>Automation component 344 / 零件 344</x:v>
      </x:c>
      <x:c r="D345" s="8" t="n">
        <x:v>5</x:v>
      </x:c>
      <x:c r="E345" s="8" t="n">
        <x:v>18.94</x:v>
      </x:c>
      <x:c r="F345" s="8" t="n">
        <x:f>D345*E345</x:f>
        <x:v>94.7</x:v>
      </x:c>
      <x:c r="G345" t="str">
        <x:v>Hold</x:v>
      </x:c>
      <x:c r="H345" t="str">
        <x:v>Production</x:v>
      </x:c>
      <x:c r="I345" s="10" t="n">
        <x:v>46367</x:v>
      </x:c>
      <x:c r="J345" t="n">
        <x:f>F345-ROUND(F345*0.97,2)</x:f>
        <x:v>2.8400000000000034</x:v>
      </x:c>
    </x:row>
    <x:row r="346">
      <x:c r="A346" t="n">
        <x:v>345</x:v>
      </x:c>
      <x:c r="B346" t="str">
        <x:v>PN-03-00345</x:v>
      </x:c>
      <x:c r="C346" t="str">
        <x:v>Automation component 345 / 零件 345</x:v>
      </x:c>
      <x:c r="D346" s="8" t="n">
        <x:v>6</x:v>
      </x:c>
      <x:c r="E346" s="8" t="n">
        <x:v>20.31</x:v>
      </x:c>
      <x:c r="F346" s="8" t="n">
        <x:f>D346*E346</x:f>
        <x:v>121.85999999999999</x:v>
      </x:c>
      <x:c r="G346" t="str">
        <x:v>Open</x:v>
      </x:c>
      <x:c r="H346" t="str">
        <x:v>Engineering</x:v>
      </x:c>
      <x:c r="I346" s="10" t="n">
        <x:v>46368</x:v>
      </x:c>
      <x:c r="J346" t="n">
        <x:f>F346-ROUND(F346*0.97,2)</x:f>
        <x:v>3.6599999999999824</x:v>
      </x:c>
    </x:row>
    <x:row r="347">
      <x:c r="A347" t="n">
        <x:v>346</x:v>
      </x:c>
      <x:c r="B347" t="str">
        <x:v>PN-03-00346</x:v>
      </x:c>
      <x:c r="C347" t="str">
        <x:v>Automation component 346 / 零件 346</x:v>
      </x:c>
      <x:c r="D347" s="8" t="n">
        <x:v>7</x:v>
      </x:c>
      <x:c r="E347" s="8" t="n">
        <x:v>21.68</x:v>
      </x:c>
      <x:c r="F347" s="8" t="n">
        <x:f>D347*E347</x:f>
        <x:v>151.76</x:v>
      </x:c>
      <x:c r="G347" t="str">
        <x:v>Approved</x:v>
      </x:c>
      <x:c r="H347" t="str">
        <x:v>Quality</x:v>
      </x:c>
      <x:c r="I347" s="10" t="n">
        <x:v>46369</x:v>
      </x:c>
      <x:c r="J347" t="n">
        <x:f>F347-ROUND(F347*0.97,2)</x:f>
        <x:v>4.549999999999983</x:v>
      </x:c>
    </x:row>
    <x:row r="348">
      <x:c r="A348" t="n">
        <x:v>347</x:v>
      </x:c>
      <x:c r="B348" t="str">
        <x:v>PN-03-00347</x:v>
      </x:c>
      <x:c r="C348" t="str">
        <x:v>Automation component 347 / 零件 347</x:v>
      </x:c>
      <x:c r="D348" s="8" t="n">
        <x:v>8</x:v>
      </x:c>
      <x:c r="E348" s="8" t="n">
        <x:v>23.05</x:v>
      </x:c>
      <x:c r="F348" s="8" t="n">
        <x:f>D348*E348</x:f>
        <x:v>184.4</x:v>
      </x:c>
      <x:c r="G348" t="str">
        <x:v>Hold</x:v>
      </x:c>
      <x:c r="H348" t="str">
        <x:v>Production</x:v>
      </x:c>
      <x:c r="I348" s="10" t="n">
        <x:v>46370</x:v>
      </x:c>
      <x:c r="J348" t="n">
        <x:f>F348-ROUND(F348*0.97,2)</x:f>
        <x:v>5.530000000000001</x:v>
      </x:c>
    </x:row>
    <x:row r="349">
      <x:c r="A349" t="n">
        <x:v>348</x:v>
      </x:c>
      <x:c r="B349" t="str">
        <x:v>PN-03-00348</x:v>
      </x:c>
      <x:c r="C349" t="str">
        <x:v>Automation component 348 / 零件 348</x:v>
      </x:c>
      <x:c r="D349" s="8" t="n">
        <x:v>9</x:v>
      </x:c>
      <x:c r="E349" s="8" t="n">
        <x:v>24.42</x:v>
      </x:c>
      <x:c r="F349" s="8" t="n">
        <x:f>D349*E349</x:f>
        <x:v>219.78000000000003</x:v>
      </x:c>
      <x:c r="G349" t="str">
        <x:v>Open</x:v>
      </x:c>
      <x:c r="H349" t="str">
        <x:v>Engineering</x:v>
      </x:c>
      <x:c r="I349" s="10" t="n">
        <x:v>46371</x:v>
      </x:c>
      <x:c r="J349" t="n">
        <x:f>F349-ROUND(F349*0.97,2)</x:f>
        <x:v>6.590000000000032</x:v>
      </x:c>
    </x:row>
    <x:row r="350">
      <x:c r="A350" t="n">
        <x:v>349</x:v>
      </x:c>
      <x:c r="B350" t="str">
        <x:v>PN-03-00349</x:v>
      </x:c>
      <x:c r="C350" t="str">
        <x:v>Automation component 349 / 零件 349</x:v>
      </x:c>
      <x:c r="D350" s="8" t="n">
        <x:v>10</x:v>
      </x:c>
      <x:c r="E350" s="8" t="n">
        <x:v>25.79</x:v>
      </x:c>
      <x:c r="F350" s="8" t="n">
        <x:f>D350*E350</x:f>
        <x:v>257.9</x:v>
      </x:c>
      <x:c r="G350" t="str">
        <x:v>Approved</x:v>
      </x:c>
      <x:c r="H350" t="str">
        <x:v>Quality</x:v>
      </x:c>
      <x:c r="I350" s="10" t="n">
        <x:v>46372</x:v>
      </x:c>
      <x:c r="J350" t="n">
        <x:f>F350-ROUND(F350*0.97,2)</x:f>
        <x:v>7.739999999999981</x:v>
      </x:c>
    </x:row>
    <x:row r="351">
      <x:c r="A351" t="n">
        <x:v>350</x:v>
      </x:c>
      <x:c r="B351" t="str">
        <x:v>PN-03-00350</x:v>
      </x:c>
      <x:c r="C351" t="str">
        <x:v>Automation component 350 / 零件 350</x:v>
      </x:c>
      <x:c r="D351" s="8" t="n">
        <x:v>11</x:v>
      </x:c>
      <x:c r="E351" s="8" t="n">
        <x:v>27.16</x:v>
      </x:c>
      <x:c r="F351" s="8" t="n">
        <x:f>D351*E351</x:f>
        <x:v>298.76</x:v>
      </x:c>
      <x:c r="G351" t="str">
        <x:v>Hold</x:v>
      </x:c>
      <x:c r="H351" t="str">
        <x:v>Production</x:v>
      </x:c>
      <x:c r="I351" s="10" t="n">
        <x:v>46373</x:v>
      </x:c>
      <x:c r="J351" t="n">
        <x:f>F351-ROUND(F351*0.97,2)</x:f>
        <x:v>8.95999999999998</x:v>
      </x:c>
    </x:row>
    <x:row r="352">
      <x:c r="A352" t="n">
        <x:v>351</x:v>
      </x:c>
      <x:c r="B352" t="str">
        <x:v>PN-03-00351</x:v>
      </x:c>
      <x:c r="C352" t="str">
        <x:v>Automation component 351 / 零件 351</x:v>
      </x:c>
      <x:c r="D352" s="8" t="n">
        <x:v>12</x:v>
      </x:c>
      <x:c r="E352" s="8" t="n">
        <x:v>28.53</x:v>
      </x:c>
      <x:c r="F352" s="8" t="n">
        <x:f>D352*E352</x:f>
        <x:v>342.36</x:v>
      </x:c>
      <x:c r="G352" t="str">
        <x:v>Open</x:v>
      </x:c>
      <x:c r="H352" t="str">
        <x:v>Engineering</x:v>
      </x:c>
      <x:c r="I352" s="10" t="n">
        <x:v>46374</x:v>
      </x:c>
      <x:c r="J352" t="n">
        <x:f>F352-ROUND(F352*0.97,2)</x:f>
        <x:v>10.270000000000039</x:v>
      </x:c>
    </x:row>
    <x:row r="353">
      <x:c r="A353" t="n">
        <x:v>352</x:v>
      </x:c>
      <x:c r="B353" t="str">
        <x:v>PN-03-00352</x:v>
      </x:c>
      <x:c r="C353" t="str">
        <x:v>Automation component 352 / 零件 352</x:v>
      </x:c>
      <x:c r="D353" s="8" t="n">
        <x:v>13</x:v>
      </x:c>
      <x:c r="E353" s="8" t="n">
        <x:v>29.9</x:v>
      </x:c>
      <x:c r="F353" s="8" t="n">
        <x:f>D353*E353</x:f>
        <x:v>388.7</x:v>
      </x:c>
      <x:c r="G353" t="str">
        <x:v>Approved</x:v>
      </x:c>
      <x:c r="H353" t="str">
        <x:v>Quality</x:v>
      </x:c>
      <x:c r="I353" s="10" t="n">
        <x:v>46375</x:v>
      </x:c>
      <x:c r="J353" t="n">
        <x:f>F353-ROUND(F353*0.97,2)</x:f>
        <x:v>11.659999999999968</x:v>
      </x:c>
    </x:row>
    <x:row r="354">
      <x:c r="A354" t="n">
        <x:v>353</x:v>
      </x:c>
      <x:c r="B354" t="str">
        <x:v>PN-03-00353</x:v>
      </x:c>
      <x:c r="C354" t="str">
        <x:v>Automation component 353 / 零件 353</x:v>
      </x:c>
      <x:c r="D354" s="8" t="n">
        <x:v>14</x:v>
      </x:c>
      <x:c r="E354" s="8" t="n">
        <x:v>31.27</x:v>
      </x:c>
      <x:c r="F354" s="8" t="n">
        <x:f>D354*E354</x:f>
        <x:v>437.78</x:v>
      </x:c>
      <x:c r="G354" t="str">
        <x:v>Hold</x:v>
      </x:c>
      <x:c r="H354" t="str">
        <x:v>Production</x:v>
      </x:c>
      <x:c r="I354" s="10" t="n">
        <x:v>46376</x:v>
      </x:c>
      <x:c r="J354" t="n">
        <x:f>F354-ROUND(F354*0.97,2)</x:f>
        <x:v>13.129999999999995</x:v>
      </x:c>
    </x:row>
    <x:row r="355">
      <x:c r="A355" t="n">
        <x:v>354</x:v>
      </x:c>
      <x:c r="B355" t="str">
        <x:v>PN-03-00354</x:v>
      </x:c>
      <x:c r="C355" t="str">
        <x:v>Automation component 354 / 零件 354</x:v>
      </x:c>
      <x:c r="D355" s="8" t="n">
        <x:v>15</x:v>
      </x:c>
      <x:c r="E355" s="8" t="n">
        <x:v>32.64</x:v>
      </x:c>
      <x:c r="F355" s="8" t="n">
        <x:f>D355*E355</x:f>
        <x:v>489.6</x:v>
      </x:c>
      <x:c r="G355" t="str">
        <x:v>Open</x:v>
      </x:c>
      <x:c r="H355" t="str">
        <x:v>Engineering</x:v>
      </x:c>
      <x:c r="I355" s="10" t="n">
        <x:v>46377</x:v>
      </x:c>
      <x:c r="J355" t="n">
        <x:f>F355-ROUND(F355*0.97,2)</x:f>
        <x:v>14.689999999999998</x:v>
      </x:c>
    </x:row>
    <x:row r="356">
      <x:c r="A356" t="n">
        <x:v>355</x:v>
      </x:c>
      <x:c r="B356" t="str">
        <x:v>PN-03-00355</x:v>
      </x:c>
      <x:c r="C356" t="str">
        <x:v>Automation component 355 / 零件 355</x:v>
      </x:c>
      <x:c r="D356" s="8" t="n">
        <x:v>16</x:v>
      </x:c>
      <x:c r="E356" s="8" t="n">
        <x:v>34.01</x:v>
      </x:c>
      <x:c r="F356" s="8" t="n">
        <x:f>D356*E356</x:f>
        <x:v>544.16</x:v>
      </x:c>
      <x:c r="G356" t="str">
        <x:v>Approved</x:v>
      </x:c>
      <x:c r="H356" t="str">
        <x:v>Quality</x:v>
      </x:c>
      <x:c r="I356" s="10" t="n">
        <x:v>46378</x:v>
      </x:c>
      <x:c r="J356" t="n">
        <x:f>F356-ROUND(F356*0.97,2)</x:f>
        <x:v>16.319999999999936</x:v>
      </x:c>
    </x:row>
    <x:row r="357">
      <x:c r="A357" t="n">
        <x:v>356</x:v>
      </x:c>
      <x:c r="B357" t="str">
        <x:v>PN-03-00356</x:v>
      </x:c>
      <x:c r="C357" t="str">
        <x:v>Automation component 356 / 零件 356</x:v>
      </x:c>
      <x:c r="D357" s="8" t="n">
        <x:v>17</x:v>
      </x:c>
      <x:c r="E357" s="8" t="n">
        <x:v>35.38</x:v>
      </x:c>
      <x:c r="F357" s="8" t="n">
        <x:f>D357*E357</x:f>
        <x:v>601.46</x:v>
      </x:c>
      <x:c r="G357" t="str">
        <x:v>Hold</x:v>
      </x:c>
      <x:c r="H357" t="str">
        <x:v>Production</x:v>
      </x:c>
      <x:c r="I357" s="10" t="n">
        <x:v>46379</x:v>
      </x:c>
      <x:c r="J357" t="n">
        <x:f>F357-ROUND(F357*0.97,2)</x:f>
        <x:v>18.040000000000077</x:v>
      </x:c>
    </x:row>
    <x:row r="358">
      <x:c r="A358" t="n">
        <x:v>357</x:v>
      </x:c>
      <x:c r="B358" t="str">
        <x:v>PN-03-00357</x:v>
      </x:c>
      <x:c r="C358" t="str">
        <x:v>Automation component 357 / 零件 357</x:v>
      </x:c>
      <x:c r="D358" s="8" t="n">
        <x:v>1</x:v>
      </x:c>
      <x:c r="E358" s="8" t="n">
        <x:v>36.75</x:v>
      </x:c>
      <x:c r="F358" s="8" t="n">
        <x:f>D358*E358</x:f>
        <x:v>36.75</x:v>
      </x:c>
      <x:c r="G358" t="str">
        <x:v>Open</x:v>
      </x:c>
      <x:c r="H358" t="str">
        <x:v>Engineering</x:v>
      </x:c>
      <x:c r="I358" s="10" t="n">
        <x:v>46380</x:v>
      </x:c>
      <x:c r="J358" t="n">
        <x:f>F358-ROUND(F358*0.97,2)</x:f>
        <x:v>1.1000000000000014</x:v>
      </x:c>
    </x:row>
    <x:row r="359">
      <x:c r="A359" t="n">
        <x:v>358</x:v>
      </x:c>
      <x:c r="B359" t="str">
        <x:v>PN-03-00358</x:v>
      </x:c>
      <x:c r="C359" t="str">
        <x:v>Automation component 358 / 零件 358</x:v>
      </x:c>
      <x:c r="D359" s="8" t="n">
        <x:v>2</x:v>
      </x:c>
      <x:c r="E359" s="8" t="n">
        <x:v>38.12</x:v>
      </x:c>
      <x:c r="F359" s="8" t="n">
        <x:f>D359*E359</x:f>
        <x:v>76.24</x:v>
      </x:c>
      <x:c r="G359" t="str">
        <x:v>Approved</x:v>
      </x:c>
      <x:c r="H359" t="str">
        <x:v>Quality</x:v>
      </x:c>
      <x:c r="I359" s="10" t="n">
        <x:v>46381</x:v>
      </x:c>
      <x:c r="J359" t="n">
        <x:f>F359-ROUND(F359*0.97,2)</x:f>
        <x:v>2.289999999999992</x:v>
      </x:c>
    </x:row>
    <x:row r="360">
      <x:c r="A360" t="n">
        <x:v>359</x:v>
      </x:c>
      <x:c r="B360" t="str">
        <x:v>PN-03-00359</x:v>
      </x:c>
      <x:c r="C360" t="str">
        <x:v>Automation component 359 / 零件 359</x:v>
      </x:c>
      <x:c r="D360" s="8" t="n">
        <x:v>3</x:v>
      </x:c>
      <x:c r="E360" s="8" t="n">
        <x:v>39.49</x:v>
      </x:c>
      <x:c r="F360" s="8" t="n">
        <x:f>D360*E360</x:f>
        <x:v>118.47</x:v>
      </x:c>
      <x:c r="G360" t="str">
        <x:v>Hold</x:v>
      </x:c>
      <x:c r="H360" t="str">
        <x:v>Production</x:v>
      </x:c>
      <x:c r="I360" s="10" t="n">
        <x:v>46382</x:v>
      </x:c>
      <x:c r="J360" t="n">
        <x:f>F360-ROUND(F360*0.97,2)</x:f>
        <x:v>3.549999999999997</x:v>
      </x:c>
    </x:row>
    <x:row r="361">
      <x:c r="A361" t="n">
        <x:v>360</x:v>
      </x:c>
      <x:c r="B361" t="str">
        <x:v>PN-03-00360</x:v>
      </x:c>
      <x:c r="C361" t="str">
        <x:v>Automation component 360 / 零件 360</x:v>
      </x:c>
      <x:c r="D361" s="8" t="n">
        <x:v>4</x:v>
      </x:c>
      <x:c r="E361" s="8" t="n">
        <x:v>40.86</x:v>
      </x:c>
      <x:c r="F361" s="8" t="n">
        <x:f>D361*E361</x:f>
        <x:v>163.44</x:v>
      </x:c>
      <x:c r="G361" t="str">
        <x:v>Open</x:v>
      </x:c>
      <x:c r="H361" t="str">
        <x:v>Engineering</x:v>
      </x:c>
      <x:c r="I361" s="10" t="n">
        <x:v>46383</x:v>
      </x:c>
      <x:c r="J361" t="n">
        <x:f>F361-ROUND(F361*0.97,2)</x:f>
        <x:v>4.900000000000006</x:v>
      </x:c>
    </x:row>
  </x:sheetData>
  <x:conditionalFormatting sqref="F2:F36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{632321AF-11FF-E827-7DCD-4E79F35F1120}</x14:id>
        </x:ext>
      </x:extLst>
    </x:cfRule>
  </x:conditionalFormatting>
  <x:dataValidations count="1">
    <x:dataValidation type="list" sqref="G2:G36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5cf1f73bf4c0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32321AF-11FF-E827-7DCD-4E79F35F1120}">
            <x14:dataBar gradient="1">
              <x14:cfvo type="min"/>
              <x14:cfvo type="max"/>
              <x14:fillColor rgb="FF4472C4"/>
            </x14:dataBar>
          </x14:cfRule>
          <xm:sqref>F2:F361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PN-04-00001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PN-04-00002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PN-04-00003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PN-04-00004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PN-04-00005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PN-04-00006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PN-04-00007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PN-04-00008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PN-04-00009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PN-04-00010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PN-04-00011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PN-04-00012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PN-04-00013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PN-04-00014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PN-04-00015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PN-04-00016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PN-04-00017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PN-04-00018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PN-04-00019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PN-04-00020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PN-04-00021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PN-04-00022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PN-04-00023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PN-04-00024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PN-04-00025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PN-04-00026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PN-04-00027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PN-04-00028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PN-04-00029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PN-04-00030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PN-04-00031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PN-04-00032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PN-04-00033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PN-04-00034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PN-04-00035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PN-04-00036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PN-04-00037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PN-04-00038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PN-04-00039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PN-04-00040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PN-04-00041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PN-04-00042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PN-04-00043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PN-04-00044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PN-04-00045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PN-04-00046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PN-04-00047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PN-04-00048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PN-04-00049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PN-04-00050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PN-04-00051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PN-04-00052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PN-04-00053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PN-04-00054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PN-04-00055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PN-04-00056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PN-04-00057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PN-04-00058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PN-04-00059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PN-04-00060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PN-04-00061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PN-04-00062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PN-04-00063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PN-04-00064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PN-04-00065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PN-04-00066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PN-04-00067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PN-04-00068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PN-04-00069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PN-04-00070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PN-04-00071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PN-04-00072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PN-04-00073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PN-04-00074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PN-04-00075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PN-04-00076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PN-04-00077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PN-04-00078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PN-04-00079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PN-04-00080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PN-04-00081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PN-04-00082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PN-04-00083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PN-04-00084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PN-04-00085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PN-04-00086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PN-04-00087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PN-04-00088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PN-04-00089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PN-04-00090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PN-04-00091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PN-04-00092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PN-04-00093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PN-04-00094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PN-04-00095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PN-04-00096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PN-04-00097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PN-04-00098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PN-04-00099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PN-04-00100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PN-04-00101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PN-04-00102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PN-04-00103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PN-04-00104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PN-04-00105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PN-04-00106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PN-04-00107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PN-04-00108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PN-04-00109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PN-04-00110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PN-04-00111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PN-04-00112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PN-04-00113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PN-04-00114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PN-04-00115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PN-04-00116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PN-04-00117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PN-04-00118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PN-04-00119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PN-04-00120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PN-04-00121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PN-04-00122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PN-04-00123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PN-04-00124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PN-04-00125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PN-04-00126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PN-04-00127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PN-04-00128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PN-04-00129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PN-04-00130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PN-04-00131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PN-04-00132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PN-04-00133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PN-04-00134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PN-04-00135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PN-04-00136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PN-04-00137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PN-04-00138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PN-04-00139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PN-04-00140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PN-04-00141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PN-04-00142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PN-04-00143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PN-04-00144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PN-04-00145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PN-04-00146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PN-04-00147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PN-04-00148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PN-04-00149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PN-04-00150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PN-04-00151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PN-04-00152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PN-04-00153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PN-04-00154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PN-04-00155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PN-04-00156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PN-04-00157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PN-04-00158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PN-04-00159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PN-04-00160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PN-04-00161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PN-04-00162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PN-04-00163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PN-04-00164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PN-04-00165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PN-04-00166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PN-04-00167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PN-04-00168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PN-04-00169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PN-04-00170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PN-04-00171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PN-04-00172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PN-04-00173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PN-04-00174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PN-04-00175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PN-04-00176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PN-04-00177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PN-04-00178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PN-04-00179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PN-04-00180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PN-04-00181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PN-04-00182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PN-04-00183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PN-04-00184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PN-04-00185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PN-04-00186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PN-04-00187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PN-04-00188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PN-04-00189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PN-04-00190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PN-04-00191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PN-04-00192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PN-04-00193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PN-04-00194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PN-04-00195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PN-04-00196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PN-04-00197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PN-04-00198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PN-04-00199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PN-04-00200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PN-04-00201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PN-04-00202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PN-04-00203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PN-04-00204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PN-04-00205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PN-04-00206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PN-04-00207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PN-04-00208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PN-04-00209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PN-04-00210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PN-04-00211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PN-04-00212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PN-04-00213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PN-04-00214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PN-04-00215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PN-04-00216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PN-04-00217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PN-04-00218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PN-04-00219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PN-04-00220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PN-04-00221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PN-04-00222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PN-04-00223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PN-04-00224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PN-04-00225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PN-04-00226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PN-04-00227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PN-04-00228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PN-04-00229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PN-04-00230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PN-04-00231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PN-04-00232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PN-04-00233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PN-04-00234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PN-04-00235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PN-04-00236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PN-04-00237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PN-04-00238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PN-04-00239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PN-04-00240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PN-04-00241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PN-04-00242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PN-04-00243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PN-04-00244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PN-04-00245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PN-04-00246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PN-04-00247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PN-04-00248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PN-04-00249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PN-04-00250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PN-04-00251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PN-04-00252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PN-04-00253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PN-04-00254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PN-04-00255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PN-04-00256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PN-04-00257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PN-04-00258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PN-04-00259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PN-04-00260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PN-04-00261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PN-04-00262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PN-04-00263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PN-04-00264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PN-04-00265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PN-04-00266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PN-04-00267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PN-04-00268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PN-04-00269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PN-04-00270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PN-04-00271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PN-04-00272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PN-04-00273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PN-04-00274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PN-04-00275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PN-04-00276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PN-04-00277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PN-04-00278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PN-04-00279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PN-04-00280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PN-04-00281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PN-04-00282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PN-04-00283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PN-04-00284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PN-04-00285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PN-04-00286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PN-04-00287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PN-04-00288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PN-04-00289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PN-04-00290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PN-04-00291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PN-04-00292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PN-04-00293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PN-04-00294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PN-04-00295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PN-04-00296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PN-04-00297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PN-04-00298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PN-04-00299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PN-04-00300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PN-04-00301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PN-04-00302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PN-04-00303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PN-04-00304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PN-04-00305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PN-04-00306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PN-04-00307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PN-04-00308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PN-04-00309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PN-04-00310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PN-04-00311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PN-04-00312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PN-04-00313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PN-04-00314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PN-04-00315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PN-04-00316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PN-04-00317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PN-04-00318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PN-04-00319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PN-04-00320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PN-04-00321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PN-04-00322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PN-04-00323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PN-04-00324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PN-04-00325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PN-04-00326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PN-04-00327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PN-04-00328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PN-04-00329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PN-04-00330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PN-04-00331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PN-04-00332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PN-04-00333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PN-04-00334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PN-04-00335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PN-04-00336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PN-04-00337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PN-04-00338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PN-04-00339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PN-04-00340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  <x:row r="342">
      <x:c r="A342" t="n">
        <x:v>341</x:v>
      </x:c>
      <x:c r="B342" t="str">
        <x:v>PN-04-00341</x:v>
      </x:c>
      <x:c r="C342" t="str">
        <x:v>Automation component 341 / 零件 341</x:v>
      </x:c>
      <x:c r="D342" s="8" t="n">
        <x:v>2</x:v>
      </x:c>
      <x:c r="E342" s="8" t="n">
        <x:v>14.83</x:v>
      </x:c>
      <x:c r="F342" s="8" t="n">
        <x:f>D342*E342</x:f>
        <x:v>29.66</x:v>
      </x:c>
      <x:c r="G342" t="str">
        <x:v>Hold</x:v>
      </x:c>
      <x:c r="H342" t="str">
        <x:v>Production</x:v>
      </x:c>
      <x:c r="I342" s="10" t="n">
        <x:v>46364</x:v>
      </x:c>
      <x:c r="J342" t="n">
        <x:f>F342-ROUND(F342*0.97,2)</x:f>
        <x:v>0.8900000000000006</x:v>
      </x:c>
    </x:row>
    <x:row r="343">
      <x:c r="A343" t="n">
        <x:v>342</x:v>
      </x:c>
      <x:c r="B343" t="str">
        <x:v>PN-04-00342</x:v>
      </x:c>
      <x:c r="C343" t="str">
        <x:v>Automation component 342 / 零件 342</x:v>
      </x:c>
      <x:c r="D343" s="8" t="n">
        <x:v>3</x:v>
      </x:c>
      <x:c r="E343" s="8" t="n">
        <x:v>16.2</x:v>
      </x:c>
      <x:c r="F343" s="8" t="n">
        <x:f>D343*E343</x:f>
        <x:v>48.599999999999994</x:v>
      </x:c>
      <x:c r="G343" t="str">
        <x:v>Open</x:v>
      </x:c>
      <x:c r="H343" t="str">
        <x:v>Engineering</x:v>
      </x:c>
      <x:c r="I343" s="10" t="n">
        <x:v>46365</x:v>
      </x:c>
      <x:c r="J343" t="n">
        <x:f>F343-ROUND(F343*0.97,2)</x:f>
        <x:v>1.4599999999999937</x:v>
      </x:c>
    </x:row>
    <x:row r="344">
      <x:c r="A344" t="n">
        <x:v>343</x:v>
      </x:c>
      <x:c r="B344" t="str">
        <x:v>PN-04-00343</x:v>
      </x:c>
      <x:c r="C344" t="str">
        <x:v>Automation component 343 / 零件 343</x:v>
      </x:c>
      <x:c r="D344" s="8" t="n">
        <x:v>4</x:v>
      </x:c>
      <x:c r="E344" s="8" t="n">
        <x:v>17.57</x:v>
      </x:c>
      <x:c r="F344" s="8" t="n">
        <x:f>D344*E344</x:f>
        <x:v>70.28</x:v>
      </x:c>
      <x:c r="G344" t="str">
        <x:v>Approved</x:v>
      </x:c>
      <x:c r="H344" t="str">
        <x:v>Quality</x:v>
      </x:c>
      <x:c r="I344" s="10" t="n">
        <x:v>46366</x:v>
      </x:c>
      <x:c r="J344" t="n">
        <x:f>F344-ROUND(F344*0.97,2)</x:f>
        <x:v>2.1099999999999994</x:v>
      </x:c>
    </x:row>
    <x:row r="345">
      <x:c r="A345" t="n">
        <x:v>344</x:v>
      </x:c>
      <x:c r="B345" t="str">
        <x:v>PN-04-00344</x:v>
      </x:c>
      <x:c r="C345" t="str">
        <x:v>Automation component 344 / 零件 344</x:v>
      </x:c>
      <x:c r="D345" s="8" t="n">
        <x:v>5</x:v>
      </x:c>
      <x:c r="E345" s="8" t="n">
        <x:v>18.94</x:v>
      </x:c>
      <x:c r="F345" s="8" t="n">
        <x:f>D345*E345</x:f>
        <x:v>94.7</x:v>
      </x:c>
      <x:c r="G345" t="str">
        <x:v>Hold</x:v>
      </x:c>
      <x:c r="H345" t="str">
        <x:v>Production</x:v>
      </x:c>
      <x:c r="I345" s="10" t="n">
        <x:v>46367</x:v>
      </x:c>
      <x:c r="J345" t="n">
        <x:f>F345-ROUND(F345*0.97,2)</x:f>
        <x:v>2.8400000000000034</x:v>
      </x:c>
    </x:row>
    <x:row r="346">
      <x:c r="A346" t="n">
        <x:v>345</x:v>
      </x:c>
      <x:c r="B346" t="str">
        <x:v>PN-04-00345</x:v>
      </x:c>
      <x:c r="C346" t="str">
        <x:v>Automation component 345 / 零件 345</x:v>
      </x:c>
      <x:c r="D346" s="8" t="n">
        <x:v>6</x:v>
      </x:c>
      <x:c r="E346" s="8" t="n">
        <x:v>20.31</x:v>
      </x:c>
      <x:c r="F346" s="8" t="n">
        <x:f>D346*E346</x:f>
        <x:v>121.85999999999999</x:v>
      </x:c>
      <x:c r="G346" t="str">
        <x:v>Open</x:v>
      </x:c>
      <x:c r="H346" t="str">
        <x:v>Engineering</x:v>
      </x:c>
      <x:c r="I346" s="10" t="n">
        <x:v>46368</x:v>
      </x:c>
      <x:c r="J346" t="n">
        <x:f>F346-ROUND(F346*0.97,2)</x:f>
        <x:v>3.6599999999999824</x:v>
      </x:c>
    </x:row>
    <x:row r="347">
      <x:c r="A347" t="n">
        <x:v>346</x:v>
      </x:c>
      <x:c r="B347" t="str">
        <x:v>PN-04-00346</x:v>
      </x:c>
      <x:c r="C347" t="str">
        <x:v>Automation component 346 / 零件 346</x:v>
      </x:c>
      <x:c r="D347" s="8" t="n">
        <x:v>7</x:v>
      </x:c>
      <x:c r="E347" s="8" t="n">
        <x:v>21.68</x:v>
      </x:c>
      <x:c r="F347" s="8" t="n">
        <x:f>D347*E347</x:f>
        <x:v>151.76</x:v>
      </x:c>
      <x:c r="G347" t="str">
        <x:v>Approved</x:v>
      </x:c>
      <x:c r="H347" t="str">
        <x:v>Quality</x:v>
      </x:c>
      <x:c r="I347" s="10" t="n">
        <x:v>46369</x:v>
      </x:c>
      <x:c r="J347" t="n">
        <x:f>F347-ROUND(F347*0.97,2)</x:f>
        <x:v>4.549999999999983</x:v>
      </x:c>
    </x:row>
    <x:row r="348">
      <x:c r="A348" t="n">
        <x:v>347</x:v>
      </x:c>
      <x:c r="B348" t="str">
        <x:v>PN-04-00347</x:v>
      </x:c>
      <x:c r="C348" t="str">
        <x:v>Automation component 347 / 零件 347</x:v>
      </x:c>
      <x:c r="D348" s="8" t="n">
        <x:v>8</x:v>
      </x:c>
      <x:c r="E348" s="8" t="n">
        <x:v>23.05</x:v>
      </x:c>
      <x:c r="F348" s="8" t="n">
        <x:f>D348*E348</x:f>
        <x:v>184.4</x:v>
      </x:c>
      <x:c r="G348" t="str">
        <x:v>Hold</x:v>
      </x:c>
      <x:c r="H348" t="str">
        <x:v>Production</x:v>
      </x:c>
      <x:c r="I348" s="10" t="n">
        <x:v>46370</x:v>
      </x:c>
      <x:c r="J348" t="n">
        <x:f>F348-ROUND(F348*0.97,2)</x:f>
        <x:v>5.530000000000001</x:v>
      </x:c>
    </x:row>
    <x:row r="349">
      <x:c r="A349" t="n">
        <x:v>348</x:v>
      </x:c>
      <x:c r="B349" t="str">
        <x:v>PN-04-00348</x:v>
      </x:c>
      <x:c r="C349" t="str">
        <x:v>Automation component 348 / 零件 348</x:v>
      </x:c>
      <x:c r="D349" s="8" t="n">
        <x:v>9</x:v>
      </x:c>
      <x:c r="E349" s="8" t="n">
        <x:v>24.42</x:v>
      </x:c>
      <x:c r="F349" s="8" t="n">
        <x:f>D349*E349</x:f>
        <x:v>219.78000000000003</x:v>
      </x:c>
      <x:c r="G349" t="str">
        <x:v>Open</x:v>
      </x:c>
      <x:c r="H349" t="str">
        <x:v>Engineering</x:v>
      </x:c>
      <x:c r="I349" s="10" t="n">
        <x:v>46371</x:v>
      </x:c>
      <x:c r="J349" t="n">
        <x:f>F349-ROUND(F349*0.97,2)</x:f>
        <x:v>6.590000000000032</x:v>
      </x:c>
    </x:row>
    <x:row r="350">
      <x:c r="A350" t="n">
        <x:v>349</x:v>
      </x:c>
      <x:c r="B350" t="str">
        <x:v>PN-04-00349</x:v>
      </x:c>
      <x:c r="C350" t="str">
        <x:v>Automation component 349 / 零件 349</x:v>
      </x:c>
      <x:c r="D350" s="8" t="n">
        <x:v>10</x:v>
      </x:c>
      <x:c r="E350" s="8" t="n">
        <x:v>25.79</x:v>
      </x:c>
      <x:c r="F350" s="8" t="n">
        <x:f>D350*E350</x:f>
        <x:v>257.9</x:v>
      </x:c>
      <x:c r="G350" t="str">
        <x:v>Approved</x:v>
      </x:c>
      <x:c r="H350" t="str">
        <x:v>Quality</x:v>
      </x:c>
      <x:c r="I350" s="10" t="n">
        <x:v>46372</x:v>
      </x:c>
      <x:c r="J350" t="n">
        <x:f>F350-ROUND(F350*0.97,2)</x:f>
        <x:v>7.739999999999981</x:v>
      </x:c>
    </x:row>
    <x:row r="351">
      <x:c r="A351" t="n">
        <x:v>350</x:v>
      </x:c>
      <x:c r="B351" t="str">
        <x:v>PN-04-00350</x:v>
      </x:c>
      <x:c r="C351" t="str">
        <x:v>Automation component 350 / 零件 350</x:v>
      </x:c>
      <x:c r="D351" s="8" t="n">
        <x:v>11</x:v>
      </x:c>
      <x:c r="E351" s="8" t="n">
        <x:v>27.16</x:v>
      </x:c>
      <x:c r="F351" s="8" t="n">
        <x:f>D351*E351</x:f>
        <x:v>298.76</x:v>
      </x:c>
      <x:c r="G351" t="str">
        <x:v>Hold</x:v>
      </x:c>
      <x:c r="H351" t="str">
        <x:v>Production</x:v>
      </x:c>
      <x:c r="I351" s="10" t="n">
        <x:v>46373</x:v>
      </x:c>
      <x:c r="J351" t="n">
        <x:f>F351-ROUND(F351*0.97,2)</x:f>
        <x:v>8.95999999999998</x:v>
      </x:c>
    </x:row>
    <x:row r="352">
      <x:c r="A352" t="n">
        <x:v>351</x:v>
      </x:c>
      <x:c r="B352" t="str">
        <x:v>PN-04-00351</x:v>
      </x:c>
      <x:c r="C352" t="str">
        <x:v>Automation component 351 / 零件 351</x:v>
      </x:c>
      <x:c r="D352" s="8" t="n">
        <x:v>12</x:v>
      </x:c>
      <x:c r="E352" s="8" t="n">
        <x:v>28.53</x:v>
      </x:c>
      <x:c r="F352" s="8" t="n">
        <x:f>D352*E352</x:f>
        <x:v>342.36</x:v>
      </x:c>
      <x:c r="G352" t="str">
        <x:v>Open</x:v>
      </x:c>
      <x:c r="H352" t="str">
        <x:v>Engineering</x:v>
      </x:c>
      <x:c r="I352" s="10" t="n">
        <x:v>46374</x:v>
      </x:c>
      <x:c r="J352" t="n">
        <x:f>F352-ROUND(F352*0.97,2)</x:f>
        <x:v>10.270000000000039</x:v>
      </x:c>
    </x:row>
    <x:row r="353">
      <x:c r="A353" t="n">
        <x:v>352</x:v>
      </x:c>
      <x:c r="B353" t="str">
        <x:v>PN-04-00352</x:v>
      </x:c>
      <x:c r="C353" t="str">
        <x:v>Automation component 352 / 零件 352</x:v>
      </x:c>
      <x:c r="D353" s="8" t="n">
        <x:v>13</x:v>
      </x:c>
      <x:c r="E353" s="8" t="n">
        <x:v>29.9</x:v>
      </x:c>
      <x:c r="F353" s="8" t="n">
        <x:f>D353*E353</x:f>
        <x:v>388.7</x:v>
      </x:c>
      <x:c r="G353" t="str">
        <x:v>Approved</x:v>
      </x:c>
      <x:c r="H353" t="str">
        <x:v>Quality</x:v>
      </x:c>
      <x:c r="I353" s="10" t="n">
        <x:v>46375</x:v>
      </x:c>
      <x:c r="J353" t="n">
        <x:f>F353-ROUND(F353*0.97,2)</x:f>
        <x:v>11.659999999999968</x:v>
      </x:c>
    </x:row>
    <x:row r="354">
      <x:c r="A354" t="n">
        <x:v>353</x:v>
      </x:c>
      <x:c r="B354" t="str">
        <x:v>PN-04-00353</x:v>
      </x:c>
      <x:c r="C354" t="str">
        <x:v>Automation component 353 / 零件 353</x:v>
      </x:c>
      <x:c r="D354" s="8" t="n">
        <x:v>14</x:v>
      </x:c>
      <x:c r="E354" s="8" t="n">
        <x:v>31.27</x:v>
      </x:c>
      <x:c r="F354" s="8" t="n">
        <x:f>D354*E354</x:f>
        <x:v>437.78</x:v>
      </x:c>
      <x:c r="G354" t="str">
        <x:v>Hold</x:v>
      </x:c>
      <x:c r="H354" t="str">
        <x:v>Production</x:v>
      </x:c>
      <x:c r="I354" s="10" t="n">
        <x:v>46376</x:v>
      </x:c>
      <x:c r="J354" t="n">
        <x:f>F354-ROUND(F354*0.97,2)</x:f>
        <x:v>13.129999999999995</x:v>
      </x:c>
    </x:row>
    <x:row r="355">
      <x:c r="A355" t="n">
        <x:v>354</x:v>
      </x:c>
      <x:c r="B355" t="str">
        <x:v>PN-04-00354</x:v>
      </x:c>
      <x:c r="C355" t="str">
        <x:v>Automation component 354 / 零件 354</x:v>
      </x:c>
      <x:c r="D355" s="8" t="n">
        <x:v>15</x:v>
      </x:c>
      <x:c r="E355" s="8" t="n">
        <x:v>32.64</x:v>
      </x:c>
      <x:c r="F355" s="8" t="n">
        <x:f>D355*E355</x:f>
        <x:v>489.6</x:v>
      </x:c>
      <x:c r="G355" t="str">
        <x:v>Open</x:v>
      </x:c>
      <x:c r="H355" t="str">
        <x:v>Engineering</x:v>
      </x:c>
      <x:c r="I355" s="10" t="n">
        <x:v>46377</x:v>
      </x:c>
      <x:c r="J355" t="n">
        <x:f>F355-ROUND(F355*0.97,2)</x:f>
        <x:v>14.689999999999998</x:v>
      </x:c>
    </x:row>
    <x:row r="356">
      <x:c r="A356" t="n">
        <x:v>355</x:v>
      </x:c>
      <x:c r="B356" t="str">
        <x:v>PN-04-00355</x:v>
      </x:c>
      <x:c r="C356" t="str">
        <x:v>Automation component 355 / 零件 355</x:v>
      </x:c>
      <x:c r="D356" s="8" t="n">
        <x:v>16</x:v>
      </x:c>
      <x:c r="E356" s="8" t="n">
        <x:v>34.01</x:v>
      </x:c>
      <x:c r="F356" s="8" t="n">
        <x:f>D356*E356</x:f>
        <x:v>544.16</x:v>
      </x:c>
      <x:c r="G356" t="str">
        <x:v>Approved</x:v>
      </x:c>
      <x:c r="H356" t="str">
        <x:v>Quality</x:v>
      </x:c>
      <x:c r="I356" s="10" t="n">
        <x:v>46378</x:v>
      </x:c>
      <x:c r="J356" t="n">
        <x:f>F356-ROUND(F356*0.97,2)</x:f>
        <x:v>16.319999999999936</x:v>
      </x:c>
    </x:row>
    <x:row r="357">
      <x:c r="A357" t="n">
        <x:v>356</x:v>
      </x:c>
      <x:c r="B357" t="str">
        <x:v>PN-04-00356</x:v>
      </x:c>
      <x:c r="C357" t="str">
        <x:v>Automation component 356 / 零件 356</x:v>
      </x:c>
      <x:c r="D357" s="8" t="n">
        <x:v>17</x:v>
      </x:c>
      <x:c r="E357" s="8" t="n">
        <x:v>35.38</x:v>
      </x:c>
      <x:c r="F357" s="8" t="n">
        <x:f>D357*E357</x:f>
        <x:v>601.46</x:v>
      </x:c>
      <x:c r="G357" t="str">
        <x:v>Hold</x:v>
      </x:c>
      <x:c r="H357" t="str">
        <x:v>Production</x:v>
      </x:c>
      <x:c r="I357" s="10" t="n">
        <x:v>46379</x:v>
      </x:c>
      <x:c r="J357" t="n">
        <x:f>F357-ROUND(F357*0.97,2)</x:f>
        <x:v>18.040000000000077</x:v>
      </x:c>
    </x:row>
    <x:row r="358">
      <x:c r="A358" t="n">
        <x:v>357</x:v>
      </x:c>
      <x:c r="B358" t="str">
        <x:v>PN-04-00357</x:v>
      </x:c>
      <x:c r="C358" t="str">
        <x:v>Automation component 357 / 零件 357</x:v>
      </x:c>
      <x:c r="D358" s="8" t="n">
        <x:v>1</x:v>
      </x:c>
      <x:c r="E358" s="8" t="n">
        <x:v>36.75</x:v>
      </x:c>
      <x:c r="F358" s="8" t="n">
        <x:f>D358*E358</x:f>
        <x:v>36.75</x:v>
      </x:c>
      <x:c r="G358" t="str">
        <x:v>Open</x:v>
      </x:c>
      <x:c r="H358" t="str">
        <x:v>Engineering</x:v>
      </x:c>
      <x:c r="I358" s="10" t="n">
        <x:v>46380</x:v>
      </x:c>
      <x:c r="J358" t="n">
        <x:f>F358-ROUND(F358*0.97,2)</x:f>
        <x:v>1.1000000000000014</x:v>
      </x:c>
    </x:row>
    <x:row r="359">
      <x:c r="A359" t="n">
        <x:v>358</x:v>
      </x:c>
      <x:c r="B359" t="str">
        <x:v>PN-04-00358</x:v>
      </x:c>
      <x:c r="C359" t="str">
        <x:v>Automation component 358 / 零件 358</x:v>
      </x:c>
      <x:c r="D359" s="8" t="n">
        <x:v>2</x:v>
      </x:c>
      <x:c r="E359" s="8" t="n">
        <x:v>38.12</x:v>
      </x:c>
      <x:c r="F359" s="8" t="n">
        <x:f>D359*E359</x:f>
        <x:v>76.24</x:v>
      </x:c>
      <x:c r="G359" t="str">
        <x:v>Approved</x:v>
      </x:c>
      <x:c r="H359" t="str">
        <x:v>Quality</x:v>
      </x:c>
      <x:c r="I359" s="10" t="n">
        <x:v>46381</x:v>
      </x:c>
      <x:c r="J359" t="n">
        <x:f>F359-ROUND(F359*0.97,2)</x:f>
        <x:v>2.289999999999992</x:v>
      </x:c>
    </x:row>
    <x:row r="360">
      <x:c r="A360" t="n">
        <x:v>359</x:v>
      </x:c>
      <x:c r="B360" t="str">
        <x:v>PN-04-00359</x:v>
      </x:c>
      <x:c r="C360" t="str">
        <x:v>Automation component 359 / 零件 359</x:v>
      </x:c>
      <x:c r="D360" s="8" t="n">
        <x:v>3</x:v>
      </x:c>
      <x:c r="E360" s="8" t="n">
        <x:v>39.49</x:v>
      </x:c>
      <x:c r="F360" s="8" t="n">
        <x:f>D360*E360</x:f>
        <x:v>118.47</x:v>
      </x:c>
      <x:c r="G360" t="str">
        <x:v>Hold</x:v>
      </x:c>
      <x:c r="H360" t="str">
        <x:v>Production</x:v>
      </x:c>
      <x:c r="I360" s="10" t="n">
        <x:v>46382</x:v>
      </x:c>
      <x:c r="J360" t="n">
        <x:f>F360-ROUND(F360*0.97,2)</x:f>
        <x:v>3.549999999999997</x:v>
      </x:c>
    </x:row>
    <x:row r="361">
      <x:c r="A361" t="n">
        <x:v>360</x:v>
      </x:c>
      <x:c r="B361" t="str">
        <x:v>PN-04-00360</x:v>
      </x:c>
      <x:c r="C361" t="str">
        <x:v>Automation component 360 / 零件 360</x:v>
      </x:c>
      <x:c r="D361" s="8" t="n">
        <x:v>4</x:v>
      </x:c>
      <x:c r="E361" s="8" t="n">
        <x:v>40.86</x:v>
      </x:c>
      <x:c r="F361" s="8" t="n">
        <x:f>D361*E361</x:f>
        <x:v>163.44</x:v>
      </x:c>
      <x:c r="G361" t="str">
        <x:v>Open</x:v>
      </x:c>
      <x:c r="H361" t="str">
        <x:v>Engineering</x:v>
      </x:c>
      <x:c r="I361" s="10" t="n">
        <x:v>46383</x:v>
      </x:c>
      <x:c r="J361" t="n">
        <x:f>F361-ROUND(F361*0.97,2)</x:f>
        <x:v>4.900000000000006</x:v>
      </x:c>
    </x:row>
  </x:sheetData>
  <x:conditionalFormatting sqref="F2:F36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{307352BD-129A-5547-393E-39C003341606}</x14:id>
        </x:ext>
      </x:extLst>
    </x:cfRule>
  </x:conditionalFormatting>
  <x:dataValidations count="1">
    <x:dataValidation type="list" sqref="G2:G36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7b9c627a484d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07352BD-129A-5547-393E-39C003341606}">
            <x14:dataBar gradient="1">
              <x14:cfvo type="min"/>
              <x14:cfvo type="max"/>
              <x14:fillColor rgb="FF4472C4"/>
            </x14:dataBar>
          </x14:cfRule>
          <xm:sqref>F2:F361</xm:sqref>
        </x14:conditionalFormatting>
      </x14:conditionalFormattings>
    </x:ext>
  </x:extLst>
</x:worksheet>
</file>
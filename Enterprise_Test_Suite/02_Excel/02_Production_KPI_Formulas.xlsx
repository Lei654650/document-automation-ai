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fd0e5f339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1" sheetId="1" r:id="Rcc46e13213bf443e"/>
    <x:sheet xmlns:r="http://schemas.openxmlformats.org/officeDocument/2006/relationships" name="Data_2" sheetId="2" r:id="R1b600a7af73a4115"/>
    <x:sheet xmlns:r="http://schemas.openxmlformats.org/officeDocument/2006/relationships" name="Data_3" sheetId="3" r:id="R980d352bb2b2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9c7efe6094521" /><Relationship Type="http://schemas.openxmlformats.org/officeDocument/2006/relationships/theme" Target="/xl/theme/theme1.xml" Id="Rb7e70e440e6b464b" /><Relationship Type="http://schemas.openxmlformats.org/officeDocument/2006/relationships/sharedStrings" Target="/xl/sharedStrings.xml" Id="R52f4a214a64f4fe1" /><Relationship Type="http://schemas.openxmlformats.org/officeDocument/2006/relationships/worksheet" Target="/xl/worksheets/sheet1.xml" Id="Rcc46e13213bf443e" /><Relationship Type="http://schemas.openxmlformats.org/officeDocument/2006/relationships/worksheet" Target="/xl/worksheets/sheet2.xml" Id="R1b600a7af73a4115" /><Relationship Type="http://schemas.openxmlformats.org/officeDocument/2006/relationships/worksheet" Target="/xl/worksheets/sheet3.xml" Id="R980d352bb2b24e2b" /></Relationships>
</file>

<file path=xl/tables/table1.xml><?xml version="1.0" encoding="utf-8"?>
<x:table xmlns:x="http://schemas.openxmlformats.org/spreadsheetml/2006/main" id="1" name="Table1" displayName="Table1" ref="A1:J32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2.xml><?xml version="1.0" encoding="utf-8"?>
<x:table xmlns:x="http://schemas.openxmlformats.org/spreadsheetml/2006/main" id="2" name="Table2" displayName="Table2" ref="A1:J32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ables/table3.xml><?xml version="1.0" encoding="utf-8"?>
<x:table xmlns:x="http://schemas.openxmlformats.org/spreadsheetml/2006/main" id="3" name="Table3" displayName="Table3" ref="A1:J321" headerRowCount="1">
  <x:tableColumns count="10">
    <x:tableColumn id="1" name="ID"/>
    <x:tableColumn id="2" name="Part No."/>
    <x:tableColumn id="3" name="Description"/>
    <x:tableColumn id="4" name="Qty"/>
    <x:tableColumn id="5" name="Unit Price"/>
    <x:tableColumn id="6" name="Subtotal"/>
    <x:tableColumn id="7" name="Status"/>
    <x:tableColumn id="8" name="Owner"/>
    <x:tableColumn id="9" name="Due Date"/>
    <x:tableColumn id="10" name="Vari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36acf54c8846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e4fb95155e45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f15fcdfcc14e5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PN-01-00001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PN-01-00002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PN-01-00003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PN-01-00004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PN-01-00005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PN-01-00006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PN-01-00007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PN-01-00008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PN-01-00009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PN-01-00010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PN-01-00011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PN-01-00012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PN-01-00013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PN-01-00014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PN-01-00015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PN-01-00016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PN-01-00017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PN-01-00018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PN-01-00019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PN-01-00020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PN-01-00021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PN-01-00022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PN-01-00023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PN-01-00024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PN-01-00025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PN-01-00026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PN-01-00027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PN-01-00028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PN-01-00029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PN-01-00030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PN-01-00031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PN-01-00032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PN-01-00033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PN-01-00034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PN-01-00035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PN-01-00036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PN-01-00037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PN-01-00038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PN-01-00039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PN-01-00040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PN-01-00041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PN-01-00042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PN-01-00043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PN-01-00044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PN-01-00045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PN-01-00046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PN-01-00047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PN-01-00048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PN-01-00049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PN-01-00050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PN-01-00051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PN-01-00052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PN-01-00053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PN-01-00054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PN-01-00055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PN-01-00056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PN-01-00057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PN-01-00058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PN-01-00059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PN-01-00060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PN-01-00061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PN-01-00062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PN-01-00063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PN-01-00064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PN-01-00065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PN-01-00066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PN-01-00067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PN-01-00068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PN-01-00069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PN-01-00070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PN-01-00071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PN-01-00072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PN-01-00073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PN-01-00074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PN-01-00075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PN-01-00076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PN-01-00077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PN-01-00078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PN-01-00079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PN-01-00080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PN-01-00081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PN-01-00082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PN-01-00083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PN-01-00084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PN-01-00085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PN-01-00086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PN-01-00087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PN-01-00088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PN-01-00089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PN-01-00090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PN-01-00091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PN-01-00092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PN-01-00093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PN-01-00094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PN-01-00095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PN-01-00096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PN-01-00097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PN-01-00098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PN-01-00099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PN-01-00100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PN-01-00101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PN-01-00102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PN-01-00103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PN-01-00104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PN-01-00105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PN-01-00106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PN-01-00107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PN-01-00108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PN-01-00109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PN-01-00110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PN-01-00111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PN-01-00112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PN-01-00113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PN-01-00114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PN-01-00115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PN-01-00116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PN-01-00117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PN-01-00118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PN-01-00119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PN-01-00120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PN-01-00121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PN-01-00122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PN-01-00123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PN-01-00124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PN-01-00125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PN-01-00126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PN-01-00127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PN-01-00128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PN-01-00129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PN-01-00130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PN-01-00131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PN-01-00132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PN-01-00133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PN-01-00134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PN-01-00135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PN-01-00136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PN-01-00137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PN-01-00138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PN-01-00139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PN-01-00140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PN-01-00141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PN-01-00142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PN-01-00143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PN-01-00144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PN-01-00145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PN-01-00146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PN-01-00147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PN-01-00148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PN-01-00149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PN-01-00150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PN-01-00151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PN-01-00152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PN-01-00153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PN-01-00154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PN-01-00155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PN-01-00156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PN-01-00157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PN-01-00158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PN-01-00159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PN-01-00160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PN-01-00161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PN-01-00162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PN-01-00163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PN-01-00164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PN-01-00165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PN-01-00166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PN-01-00167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PN-01-00168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PN-01-00169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PN-01-00170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PN-01-00171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PN-01-00172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PN-01-00173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PN-01-00174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PN-01-00175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PN-01-00176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PN-01-00177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PN-01-00178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PN-01-00179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PN-01-00180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PN-01-00181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PN-01-00182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PN-01-00183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PN-01-00184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PN-01-00185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PN-01-00186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PN-01-00187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PN-01-00188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PN-01-00189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PN-01-00190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PN-01-00191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PN-01-00192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PN-01-00193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PN-01-00194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PN-01-00195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PN-01-00196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PN-01-00197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PN-01-00198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PN-01-00199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PN-01-00200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PN-01-00201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PN-01-00202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PN-01-00203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PN-01-00204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PN-01-00205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PN-01-00206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PN-01-00207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PN-01-00208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PN-01-00209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PN-01-00210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PN-01-00211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PN-01-00212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PN-01-00213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PN-01-00214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PN-01-00215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PN-01-00216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PN-01-00217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PN-01-00218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PN-01-00219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PN-01-00220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PN-01-00221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PN-01-00222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PN-01-00223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PN-01-00224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PN-01-00225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PN-01-00226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PN-01-00227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PN-01-00228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PN-01-00229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PN-01-00230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PN-01-00231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PN-01-00232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PN-01-00233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PN-01-00234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PN-01-00235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PN-01-00236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PN-01-00237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PN-01-00238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PN-01-00239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PN-01-00240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PN-01-00241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PN-01-00242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PN-01-00243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PN-01-00244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PN-01-00245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PN-01-00246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PN-01-00247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PN-01-00248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PN-01-00249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PN-01-00250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PN-01-00251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PN-01-00252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PN-01-00253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PN-01-00254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PN-01-00255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PN-01-00256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PN-01-00257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PN-01-00258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PN-01-00259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PN-01-00260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PN-01-00261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PN-01-00262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PN-01-00263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PN-01-00264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PN-01-00265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PN-01-00266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PN-01-00267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PN-01-00268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PN-01-00269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PN-01-00270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PN-01-00271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PN-01-00272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PN-01-00273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PN-01-00274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PN-01-00275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PN-01-00276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PN-01-00277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PN-01-00278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PN-01-00279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PN-01-00280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PN-01-00281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PN-01-00282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PN-01-00283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PN-01-00284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PN-01-00285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PN-01-00286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PN-01-00287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PN-01-00288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PN-01-00289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PN-01-00290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PN-01-00291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PN-01-00292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PN-01-00293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PN-01-00294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PN-01-00295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PN-01-00296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PN-01-00297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PN-01-00298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PN-01-00299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PN-01-00300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PN-01-00301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PN-01-00302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PN-01-00303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PN-01-00304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PN-01-00305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PN-01-00306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PN-01-00307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PN-01-00308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PN-01-00309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PN-01-00310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PN-01-00311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PN-01-00312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PN-01-00313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PN-01-00314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PN-01-00315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PN-01-00316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PN-01-00317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PN-01-00318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PN-01-00319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PN-01-00320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</x:sheetData>
  <x:conditionalFormatting sqref="F2:F32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{4F79A556-429C-2BB7-B0FD-56653197DCD2}</x14:id>
        </x:ext>
      </x:extLst>
    </x:cfRule>
  </x:conditionalFormatting>
  <x:dataValidations count="1">
    <x:dataValidation type="list" sqref="G2:G32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6acf54c88469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F79A556-429C-2BB7-B0FD-56653197DCD2}">
            <x14:dataBar gradient="1">
              <x14:cfvo type="min"/>
              <x14:cfvo type="max"/>
              <x14:fillColor rgb="FF4472C4"/>
            </x14:dataBar>
          </x14:cfRule>
          <xm:sqref>F2:F321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PN-02-00001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PN-02-00002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PN-02-00003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PN-02-00004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PN-02-00005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PN-02-00006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PN-02-00007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PN-02-00008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PN-02-00009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PN-02-00010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PN-02-00011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PN-02-00012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PN-02-00013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PN-02-00014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PN-02-00015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PN-02-00016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PN-02-00017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PN-02-00018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PN-02-00019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PN-02-00020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PN-02-00021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PN-02-00022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PN-02-00023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PN-02-00024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PN-02-00025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PN-02-00026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PN-02-00027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PN-02-00028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PN-02-00029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PN-02-00030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PN-02-00031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PN-02-00032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PN-02-00033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PN-02-00034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PN-02-00035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PN-02-00036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PN-02-00037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PN-02-00038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PN-02-00039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PN-02-00040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PN-02-00041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PN-02-00042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PN-02-00043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PN-02-00044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PN-02-00045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PN-02-00046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PN-02-00047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PN-02-00048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PN-02-00049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PN-02-00050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PN-02-00051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PN-02-00052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PN-02-00053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PN-02-00054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PN-02-00055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PN-02-00056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PN-02-00057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PN-02-00058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PN-02-00059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PN-02-00060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PN-02-00061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PN-02-00062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PN-02-00063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PN-02-00064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PN-02-00065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PN-02-00066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PN-02-00067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PN-02-00068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PN-02-00069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PN-02-00070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PN-02-00071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PN-02-00072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PN-02-00073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PN-02-00074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PN-02-00075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PN-02-00076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PN-02-00077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PN-02-00078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PN-02-00079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PN-02-00080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PN-02-00081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PN-02-00082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PN-02-00083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PN-02-00084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PN-02-00085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PN-02-00086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PN-02-00087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PN-02-00088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PN-02-00089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PN-02-00090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PN-02-00091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PN-02-00092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PN-02-00093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PN-02-00094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PN-02-00095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PN-02-00096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PN-02-00097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PN-02-00098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PN-02-00099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PN-02-00100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PN-02-00101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PN-02-00102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PN-02-00103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PN-02-00104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PN-02-00105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PN-02-00106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PN-02-00107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PN-02-00108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PN-02-00109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PN-02-00110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PN-02-00111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PN-02-00112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PN-02-00113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PN-02-00114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PN-02-00115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PN-02-00116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PN-02-00117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PN-02-00118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PN-02-00119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PN-02-00120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PN-02-00121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PN-02-00122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PN-02-00123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PN-02-00124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PN-02-00125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PN-02-00126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PN-02-00127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PN-02-00128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PN-02-00129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PN-02-00130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PN-02-00131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PN-02-00132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PN-02-00133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PN-02-00134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PN-02-00135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PN-02-00136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PN-02-00137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PN-02-00138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PN-02-00139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PN-02-00140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PN-02-00141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PN-02-00142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PN-02-00143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PN-02-00144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PN-02-00145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PN-02-00146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PN-02-00147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PN-02-00148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PN-02-00149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PN-02-00150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PN-02-00151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PN-02-00152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PN-02-00153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PN-02-00154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PN-02-00155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PN-02-00156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PN-02-00157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PN-02-00158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PN-02-00159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PN-02-00160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PN-02-00161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PN-02-00162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PN-02-00163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PN-02-00164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PN-02-00165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PN-02-00166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PN-02-00167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PN-02-00168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PN-02-00169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PN-02-00170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PN-02-00171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PN-02-00172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PN-02-00173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PN-02-00174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PN-02-00175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PN-02-00176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PN-02-00177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PN-02-00178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PN-02-00179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PN-02-00180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PN-02-00181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PN-02-00182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PN-02-00183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PN-02-00184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PN-02-00185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PN-02-00186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PN-02-00187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PN-02-00188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PN-02-00189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PN-02-00190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PN-02-00191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PN-02-00192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PN-02-00193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PN-02-00194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PN-02-00195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PN-02-00196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PN-02-00197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PN-02-00198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PN-02-00199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PN-02-00200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PN-02-00201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PN-02-00202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PN-02-00203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PN-02-00204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PN-02-00205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PN-02-00206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PN-02-00207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PN-02-00208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PN-02-00209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PN-02-00210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PN-02-00211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PN-02-00212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PN-02-00213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PN-02-00214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PN-02-00215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PN-02-00216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PN-02-00217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PN-02-00218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PN-02-00219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PN-02-00220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PN-02-00221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PN-02-00222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PN-02-00223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PN-02-00224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PN-02-00225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PN-02-00226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PN-02-00227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PN-02-00228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PN-02-00229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PN-02-00230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PN-02-00231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PN-02-00232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PN-02-00233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PN-02-00234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PN-02-00235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PN-02-00236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PN-02-00237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PN-02-00238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PN-02-00239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PN-02-00240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PN-02-00241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PN-02-00242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PN-02-00243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PN-02-00244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PN-02-00245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PN-02-00246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PN-02-00247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PN-02-00248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PN-02-00249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PN-02-00250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PN-02-00251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PN-02-00252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PN-02-00253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PN-02-00254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PN-02-00255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PN-02-00256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PN-02-00257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PN-02-00258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PN-02-00259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PN-02-00260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PN-02-00261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PN-02-00262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PN-02-00263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PN-02-00264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PN-02-00265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PN-02-00266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PN-02-00267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PN-02-00268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PN-02-00269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PN-02-00270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PN-02-00271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PN-02-00272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PN-02-00273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PN-02-00274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PN-02-00275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PN-02-00276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PN-02-00277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PN-02-00278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PN-02-00279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PN-02-00280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PN-02-00281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PN-02-00282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PN-02-00283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PN-02-00284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PN-02-00285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PN-02-00286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PN-02-00287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PN-02-00288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PN-02-00289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PN-02-00290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PN-02-00291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PN-02-00292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PN-02-00293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PN-02-00294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PN-02-00295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PN-02-00296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PN-02-00297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PN-02-00298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PN-02-00299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PN-02-00300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PN-02-00301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PN-02-00302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PN-02-00303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PN-02-00304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PN-02-00305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PN-02-00306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PN-02-00307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PN-02-00308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PN-02-00309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PN-02-00310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PN-02-00311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PN-02-00312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PN-02-00313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PN-02-00314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PN-02-00315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PN-02-00316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PN-02-00317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PN-02-00318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PN-02-00319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PN-02-00320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</x:sheetData>
  <x:conditionalFormatting sqref="F2:F32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{1285644C-386A-DF5E-FDE9-E3DF2101B9CC}</x14:id>
        </x:ext>
      </x:extLst>
    </x:cfRule>
  </x:conditionalFormatting>
  <x:dataValidations count="1">
    <x:dataValidation type="list" sqref="G2:G32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e4fb95155e453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85644C-386A-DF5E-FDE9-E3DF2101B9CC}">
            <x14:dataBar gradient="1">
              <x14:cfvo type="min"/>
              <x14:cfvo type="max"/>
              <x14:fillColor rgb="FF4472C4"/>
            </x14:dataBar>
          </x14:cfRule>
          <xm:sqref>F2:F321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ID</x:v>
      </x:c>
      <x:c r="B1" s="4" t="str">
        <x:v>Part No.</x:v>
      </x:c>
      <x:c r="C1" s="4" t="str">
        <x:v>Description</x:v>
      </x:c>
      <x:c r="D1" s="4" t="str">
        <x:v>Qty</x:v>
      </x:c>
      <x:c r="E1" s="4" t="str">
        <x:v>Unit Price</x:v>
      </x:c>
      <x:c r="F1" s="4" t="str">
        <x:v>Subtotal</x:v>
      </x:c>
      <x:c r="G1" s="4" t="str">
        <x:v>Status</x:v>
      </x:c>
      <x:c r="H1" s="4" t="str">
        <x:v>Owner</x:v>
      </x:c>
      <x:c r="I1" s="4" t="str">
        <x:v>Due Date</x:v>
      </x:c>
      <x:c r="J1" s="4" t="str">
        <x:v>Variance</x:v>
      </x:c>
    </x:row>
    <x:row r="2">
      <x:c r="A2" t="n">
        <x:v>1</x:v>
      </x:c>
      <x:c r="B2" t="str">
        <x:v>PN-03-00001</x:v>
      </x:c>
      <x:c r="C2" t="str">
        <x:v>Automation component 1 / 零件 1</x:v>
      </x:c>
      <x:c r="D2" s="8" t="n">
        <x:v>2</x:v>
      </x:c>
      <x:c r="E2" s="8" t="n">
        <x:v>3.87</x:v>
      </x:c>
      <x:c r="F2" s="8" t="n">
        <x:f>D2*E2</x:f>
        <x:v>7.74</x:v>
      </x:c>
      <x:c r="G2" t="str">
        <x:v>Approved</x:v>
      </x:c>
      <x:c r="H2" t="str">
        <x:v>Quality</x:v>
      </x:c>
      <x:c r="I2" s="10" t="n">
        <x:v>46024</x:v>
      </x:c>
      <x:c r="J2" t="n">
        <x:f>F2-ROUND(F2*0.97,2)</x:f>
        <x:v>0.23000000000000043</x:v>
      </x:c>
    </x:row>
    <x:row r="3">
      <x:c r="A3" t="n">
        <x:v>2</x:v>
      </x:c>
      <x:c r="B3" t="str">
        <x:v>PN-03-00002</x:v>
      </x:c>
      <x:c r="C3" t="str">
        <x:v>Automation component 2 / 零件 2</x:v>
      </x:c>
      <x:c r="D3" s="8" t="n">
        <x:v>3</x:v>
      </x:c>
      <x:c r="E3" s="8" t="n">
        <x:v>5.24</x:v>
      </x:c>
      <x:c r="F3" s="8" t="n">
        <x:f>D3*E3</x:f>
        <x:v>15.72</x:v>
      </x:c>
      <x:c r="G3" t="str">
        <x:v>Hold</x:v>
      </x:c>
      <x:c r="H3" t="str">
        <x:v>Production</x:v>
      </x:c>
      <x:c r="I3" s="10" t="n">
        <x:v>46025</x:v>
      </x:c>
      <x:c r="J3" t="n">
        <x:f>F3-ROUND(F3*0.97,2)</x:f>
        <x:v>0.47000000000000064</x:v>
      </x:c>
    </x:row>
    <x:row r="4">
      <x:c r="A4" t="n">
        <x:v>3</x:v>
      </x:c>
      <x:c r="B4" t="str">
        <x:v>PN-03-00003</x:v>
      </x:c>
      <x:c r="C4" t="str">
        <x:v>Automation component 3 / 零件 3</x:v>
      </x:c>
      <x:c r="D4" s="8" t="n">
        <x:v>4</x:v>
      </x:c>
      <x:c r="E4" s="8" t="n">
        <x:v>6.61</x:v>
      </x:c>
      <x:c r="F4" s="8" t="n">
        <x:f>D4*E4</x:f>
        <x:v>26.44</x:v>
      </x:c>
      <x:c r="G4" t="str">
        <x:v>Open</x:v>
      </x:c>
      <x:c r="H4" t="str">
        <x:v>Engineering</x:v>
      </x:c>
      <x:c r="I4" s="10" t="n">
        <x:v>46026</x:v>
      </x:c>
      <x:c r="J4" t="n">
        <x:f>F4-ROUND(F4*0.97,2)</x:f>
        <x:v>0.7900000000000027</x:v>
      </x:c>
    </x:row>
    <x:row r="5">
      <x:c r="A5" t="n">
        <x:v>4</x:v>
      </x:c>
      <x:c r="B5" t="str">
        <x:v>PN-03-00004</x:v>
      </x:c>
      <x:c r="C5" t="str">
        <x:v>Automation component 4 / 零件 4</x:v>
      </x:c>
      <x:c r="D5" s="8" t="n">
        <x:v>5</x:v>
      </x:c>
      <x:c r="E5" s="8" t="n">
        <x:v>7.98</x:v>
      </x:c>
      <x:c r="F5" s="8" t="n">
        <x:f>D5*E5</x:f>
        <x:v>39.900000000000006</x:v>
      </x:c>
      <x:c r="G5" t="str">
        <x:v>Approved</x:v>
      </x:c>
      <x:c r="H5" t="str">
        <x:v>Quality</x:v>
      </x:c>
      <x:c r="I5" s="10" t="n">
        <x:v>46027</x:v>
      </x:c>
      <x:c r="J5" t="n">
        <x:f>F5-ROUND(F5*0.97,2)</x:f>
        <x:v>1.2000000000000028</x:v>
      </x:c>
    </x:row>
    <x:row r="6">
      <x:c r="A6" t="n">
        <x:v>5</x:v>
      </x:c>
      <x:c r="B6" t="str">
        <x:v>PN-03-00005</x:v>
      </x:c>
      <x:c r="C6" t="str">
        <x:v>Automation component 5 / 零件 5</x:v>
      </x:c>
      <x:c r="D6" s="8" t="n">
        <x:v>6</x:v>
      </x:c>
      <x:c r="E6" s="8" t="n">
        <x:v>9.35</x:v>
      </x:c>
      <x:c r="F6" s="8" t="n">
        <x:f>D6*E6</x:f>
        <x:v>56.099999999999994</x:v>
      </x:c>
      <x:c r="G6" t="str">
        <x:v>Hold</x:v>
      </x:c>
      <x:c r="H6" t="str">
        <x:v>Production</x:v>
      </x:c>
      <x:c r="I6" s="10" t="n">
        <x:v>46028</x:v>
      </x:c>
      <x:c r="J6" t="n">
        <x:f>F6-ROUND(F6*0.97,2)</x:f>
        <x:v>1.6799999999999926</x:v>
      </x:c>
    </x:row>
    <x:row r="7">
      <x:c r="A7" t="n">
        <x:v>6</x:v>
      </x:c>
      <x:c r="B7" t="str">
        <x:v>PN-03-00006</x:v>
      </x:c>
      <x:c r="C7" t="str">
        <x:v>Automation component 6 / 零件 6</x:v>
      </x:c>
      <x:c r="D7" s="8" t="n">
        <x:v>7</x:v>
      </x:c>
      <x:c r="E7" s="8" t="n">
        <x:v>10.72</x:v>
      </x:c>
      <x:c r="F7" s="8" t="n">
        <x:f>D7*E7</x:f>
        <x:v>75.04</x:v>
      </x:c>
      <x:c r="G7" t="str">
        <x:v>Open</x:v>
      </x:c>
      <x:c r="H7" t="str">
        <x:v>Engineering</x:v>
      </x:c>
      <x:c r="I7" s="10" t="n">
        <x:v>46029</x:v>
      </x:c>
      <x:c r="J7" t="n">
        <x:f>F7-ROUND(F7*0.97,2)</x:f>
        <x:v>2.25</x:v>
      </x:c>
    </x:row>
    <x:row r="8">
      <x:c r="A8" t="n">
        <x:v>7</x:v>
      </x:c>
      <x:c r="B8" t="str">
        <x:v>PN-03-00007</x:v>
      </x:c>
      <x:c r="C8" t="str">
        <x:v>Automation component 7 / 零件 7</x:v>
      </x:c>
      <x:c r="D8" s="8" t="n">
        <x:v>8</x:v>
      </x:c>
      <x:c r="E8" s="8" t="n">
        <x:v>12.09</x:v>
      </x:c>
      <x:c r="F8" s="8" t="n">
        <x:f>D8*E8</x:f>
        <x:v>96.72</x:v>
      </x:c>
      <x:c r="G8" t="str">
        <x:v>Approved</x:v>
      </x:c>
      <x:c r="H8" t="str">
        <x:v>Quality</x:v>
      </x:c>
      <x:c r="I8" s="10" t="n">
        <x:v>46030</x:v>
      </x:c>
      <x:c r="J8" t="n">
        <x:f>F8-ROUND(F8*0.97,2)</x:f>
        <x:v>2.9000000000000057</x:v>
      </x:c>
    </x:row>
    <x:row r="9">
      <x:c r="A9" t="n">
        <x:v>8</x:v>
      </x:c>
      <x:c r="B9" t="str">
        <x:v>PN-03-00008</x:v>
      </x:c>
      <x:c r="C9" t="str">
        <x:v>Automation component 8 / 零件 8</x:v>
      </x:c>
      <x:c r="D9" s="8" t="n">
        <x:v>9</x:v>
      </x:c>
      <x:c r="E9" s="8" t="n">
        <x:v>13.46</x:v>
      </x:c>
      <x:c r="F9" s="8" t="n">
        <x:f>D9*E9</x:f>
        <x:v>121.14000000000001</x:v>
      </x:c>
      <x:c r="G9" t="str">
        <x:v>Hold</x:v>
      </x:c>
      <x:c r="H9" t="str">
        <x:v>Production</x:v>
      </x:c>
      <x:c r="I9" s="10" t="n">
        <x:v>46031</x:v>
      </x:c>
      <x:c r="J9" t="n">
        <x:f>F9-ROUND(F9*0.97,2)</x:f>
        <x:v>3.6300000000000097</x:v>
      </x:c>
    </x:row>
    <x:row r="10">
      <x:c r="A10" t="n">
        <x:v>9</x:v>
      </x:c>
      <x:c r="B10" t="str">
        <x:v>PN-03-00009</x:v>
      </x:c>
      <x:c r="C10" t="str">
        <x:v>Automation component 9 / 零件 9</x:v>
      </x:c>
      <x:c r="D10" s="8" t="n">
        <x:v>10</x:v>
      </x:c>
      <x:c r="E10" s="8" t="n">
        <x:v>14.83</x:v>
      </x:c>
      <x:c r="F10" s="8" t="n">
        <x:f>D10*E10</x:f>
        <x:v>148.3</x:v>
      </x:c>
      <x:c r="G10" t="str">
        <x:v>Open</x:v>
      </x:c>
      <x:c r="H10" t="str">
        <x:v>Engineering</x:v>
      </x:c>
      <x:c r="I10" s="10" t="n">
        <x:v>46032</x:v>
      </x:c>
      <x:c r="J10" t="n">
        <x:f>F10-ROUND(F10*0.97,2)</x:f>
        <x:v>4.450000000000017</x:v>
      </x:c>
    </x:row>
    <x:row r="11">
      <x:c r="A11" t="n">
        <x:v>10</x:v>
      </x:c>
      <x:c r="B11" t="str">
        <x:v>PN-03-00010</x:v>
      </x:c>
      <x:c r="C11" t="str">
        <x:v>Automation component 10 / 零件 10</x:v>
      </x:c>
      <x:c r="D11" s="8" t="n">
        <x:v>11</x:v>
      </x:c>
      <x:c r="E11" s="8" t="n">
        <x:v>16.2</x:v>
      </x:c>
      <x:c r="F11" s="8" t="n">
        <x:f>D11*E11</x:f>
        <x:v>178.2</x:v>
      </x:c>
      <x:c r="G11" t="str">
        <x:v>Approved</x:v>
      </x:c>
      <x:c r="H11" t="str">
        <x:v>Quality</x:v>
      </x:c>
      <x:c r="I11" s="10" t="n">
        <x:v>46033</x:v>
      </x:c>
      <x:c r="J11" t="n">
        <x:f>F11-ROUND(F11*0.97,2)</x:f>
        <x:v>5.349999999999994</x:v>
      </x:c>
    </x:row>
    <x:row r="12">
      <x:c r="A12" t="n">
        <x:v>11</x:v>
      </x:c>
      <x:c r="B12" t="str">
        <x:v>PN-03-00011</x:v>
      </x:c>
      <x:c r="C12" t="str">
        <x:v>Automation component 11 / 零件 11</x:v>
      </x:c>
      <x:c r="D12" s="8" t="n">
        <x:v>12</x:v>
      </x:c>
      <x:c r="E12" s="8" t="n">
        <x:v>17.57</x:v>
      </x:c>
      <x:c r="F12" s="8" t="n">
        <x:f>D12*E12</x:f>
        <x:v>210.84</x:v>
      </x:c>
      <x:c r="G12" t="str">
        <x:v>Hold</x:v>
      </x:c>
      <x:c r="H12" t="str">
        <x:v>Production</x:v>
      </x:c>
      <x:c r="I12" s="10" t="n">
        <x:v>46034</x:v>
      </x:c>
      <x:c r="J12" t="n">
        <x:f>F12-ROUND(F12*0.97,2)</x:f>
        <x:v>6.3300000000000125</x:v>
      </x:c>
    </x:row>
    <x:row r="13">
      <x:c r="A13" t="n">
        <x:v>12</x:v>
      </x:c>
      <x:c r="B13" t="str">
        <x:v>PN-03-00012</x:v>
      </x:c>
      <x:c r="C13" t="str">
        <x:v>Automation component 12 / 零件 12</x:v>
      </x:c>
      <x:c r="D13" s="8" t="n">
        <x:v>13</x:v>
      </x:c>
      <x:c r="E13" s="8" t="n">
        <x:v>18.94</x:v>
      </x:c>
      <x:c r="F13" s="8" t="n">
        <x:f>D13*E13</x:f>
        <x:v>246.22000000000003</x:v>
      </x:c>
      <x:c r="G13" t="str">
        <x:v>Open</x:v>
      </x:c>
      <x:c r="H13" t="str">
        <x:v>Engineering</x:v>
      </x:c>
      <x:c r="I13" s="10" t="n">
        <x:v>46035</x:v>
      </x:c>
      <x:c r="J13" t="n">
        <x:f>F13-ROUND(F13*0.97,2)</x:f>
        <x:v>7.390000000000015</x:v>
      </x:c>
    </x:row>
    <x:row r="14">
      <x:c r="A14" t="n">
        <x:v>13</x:v>
      </x:c>
      <x:c r="B14" t="str">
        <x:v>PN-03-00013</x:v>
      </x:c>
      <x:c r="C14" t="str">
        <x:v>Automation component 13 / 零件 13</x:v>
      </x:c>
      <x:c r="D14" s="8" t="n">
        <x:v>14</x:v>
      </x:c>
      <x:c r="E14" s="8" t="n">
        <x:v>20.31</x:v>
      </x:c>
      <x:c r="F14" s="8" t="n">
        <x:f>D14*E14</x:f>
        <x:v>284.34</x:v>
      </x:c>
      <x:c r="G14" t="str">
        <x:v>Approved</x:v>
      </x:c>
      <x:c r="H14" t="str">
        <x:v>Quality</x:v>
      </x:c>
      <x:c r="I14" s="10" t="n">
        <x:v>46036</x:v>
      </x:c>
      <x:c r="J14" t="n">
        <x:f>F14-ROUND(F14*0.97,2)</x:f>
        <x:v>8.529999999999973</x:v>
      </x:c>
    </x:row>
    <x:row r="15">
      <x:c r="A15" t="n">
        <x:v>14</x:v>
      </x:c>
      <x:c r="B15" t="str">
        <x:v>PN-03-00014</x:v>
      </x:c>
      <x:c r="C15" t="str">
        <x:v>Automation component 14 / 零件 14</x:v>
      </x:c>
      <x:c r="D15" s="8" t="n">
        <x:v>15</x:v>
      </x:c>
      <x:c r="E15" s="8" t="n">
        <x:v>21.68</x:v>
      </x:c>
      <x:c r="F15" s="8" t="n">
        <x:f>D15*E15</x:f>
        <x:v>325.2</x:v>
      </x:c>
      <x:c r="G15" t="str">
        <x:v>Hold</x:v>
      </x:c>
      <x:c r="H15" t="str">
        <x:v>Production</x:v>
      </x:c>
      <x:c r="I15" s="10" t="n">
        <x:v>46037</x:v>
      </x:c>
      <x:c r="J15" t="n">
        <x:f>F15-ROUND(F15*0.97,2)</x:f>
        <x:v>9.759999999999991</x:v>
      </x:c>
    </x:row>
    <x:row r="16">
      <x:c r="A16" t="n">
        <x:v>15</x:v>
      </x:c>
      <x:c r="B16" t="str">
        <x:v>PN-03-00015</x:v>
      </x:c>
      <x:c r="C16" t="str">
        <x:v>Automation component 15 / 零件 15</x:v>
      </x:c>
      <x:c r="D16" s="8" t="n">
        <x:v>16</x:v>
      </x:c>
      <x:c r="E16" s="8" t="n">
        <x:v>23.05</x:v>
      </x:c>
      <x:c r="F16" s="8" t="n">
        <x:f>D16*E16</x:f>
        <x:v>368.8</x:v>
      </x:c>
      <x:c r="G16" t="str">
        <x:v>Open</x:v>
      </x:c>
      <x:c r="H16" t="str">
        <x:v>Engineering</x:v>
      </x:c>
      <x:c r="I16" s="10" t="n">
        <x:v>46038</x:v>
      </x:c>
      <x:c r="J16" t="n">
        <x:f>F16-ROUND(F16*0.97,2)</x:f>
        <x:v>11.060000000000002</x:v>
      </x:c>
    </x:row>
    <x:row r="17">
      <x:c r="A17" t="n">
        <x:v>16</x:v>
      </x:c>
      <x:c r="B17" t="str">
        <x:v>PN-03-00016</x:v>
      </x:c>
      <x:c r="C17" t="str">
        <x:v>Automation component 16 / 零件 16</x:v>
      </x:c>
      <x:c r="D17" s="8" t="n">
        <x:v>17</x:v>
      </x:c>
      <x:c r="E17" s="8" t="n">
        <x:v>24.42</x:v>
      </x:c>
      <x:c r="F17" s="8" t="n">
        <x:f>D17*E17</x:f>
        <x:v>415.14000000000004</x:v>
      </x:c>
      <x:c r="G17" t="str">
        <x:v>Approved</x:v>
      </x:c>
      <x:c r="H17" t="str">
        <x:v>Quality</x:v>
      </x:c>
      <x:c r="I17" s="10" t="n">
        <x:v>46039</x:v>
      </x:c>
      <x:c r="J17" t="n">
        <x:f>F17-ROUND(F17*0.97,2)</x:f>
        <x:v>12.450000000000045</x:v>
      </x:c>
    </x:row>
    <x:row r="18">
      <x:c r="A18" t="n">
        <x:v>17</x:v>
      </x:c>
      <x:c r="B18" t="str">
        <x:v>PN-03-00017</x:v>
      </x:c>
      <x:c r="C18" t="str">
        <x:v>Automation component 17 / 零件 17</x:v>
      </x:c>
      <x:c r="D18" s="8" t="n">
        <x:v>1</x:v>
      </x:c>
      <x:c r="E18" s="8" t="n">
        <x:v>25.79</x:v>
      </x:c>
      <x:c r="F18" s="8" t="n">
        <x:f>D18*E18</x:f>
        <x:v>25.79</x:v>
      </x:c>
      <x:c r="G18" t="str">
        <x:v>Hold</x:v>
      </x:c>
      <x:c r="H18" t="str">
        <x:v>Production</x:v>
      </x:c>
      <x:c r="I18" s="10" t="n">
        <x:v>46040</x:v>
      </x:c>
      <x:c r="J18" t="n">
        <x:f>F18-ROUND(F18*0.97,2)</x:f>
        <x:v>0.7699999999999996</x:v>
      </x:c>
    </x:row>
    <x:row r="19">
      <x:c r="A19" t="n">
        <x:v>18</x:v>
      </x:c>
      <x:c r="B19" t="str">
        <x:v>PN-03-00018</x:v>
      </x:c>
      <x:c r="C19" t="str">
        <x:v>Automation component 18 / 零件 18</x:v>
      </x:c>
      <x:c r="D19" s="8" t="n">
        <x:v>2</x:v>
      </x:c>
      <x:c r="E19" s="8" t="n">
        <x:v>27.16</x:v>
      </x:c>
      <x:c r="F19" s="8" t="n">
        <x:f>D19*E19</x:f>
        <x:v>54.32</x:v>
      </x:c>
      <x:c r="G19" t="str">
        <x:v>Open</x:v>
      </x:c>
      <x:c r="H19" t="str">
        <x:v>Engineering</x:v>
      </x:c>
      <x:c r="I19" s="10" t="n">
        <x:v>46041</x:v>
      </x:c>
      <x:c r="J19" t="n">
        <x:f>F19-ROUND(F19*0.97,2)</x:f>
        <x:v>1.6300000000000026</x:v>
      </x:c>
    </x:row>
    <x:row r="20">
      <x:c r="A20" t="n">
        <x:v>19</x:v>
      </x:c>
      <x:c r="B20" t="str">
        <x:v>PN-03-00019</x:v>
      </x:c>
      <x:c r="C20" t="str">
        <x:v>Automation component 19 / 零件 19</x:v>
      </x:c>
      <x:c r="D20" s="8" t="n">
        <x:v>3</x:v>
      </x:c>
      <x:c r="E20" s="8" t="n">
        <x:v>28.53</x:v>
      </x:c>
      <x:c r="F20" s="8" t="n">
        <x:f>D20*E20</x:f>
        <x:v>85.59</x:v>
      </x:c>
      <x:c r="G20" t="str">
        <x:v>Approved</x:v>
      </x:c>
      <x:c r="H20" t="str">
        <x:v>Quality</x:v>
      </x:c>
      <x:c r="I20" s="10" t="n">
        <x:v>46042</x:v>
      </x:c>
      <x:c r="J20" t="n">
        <x:f>F20-ROUND(F20*0.97,2)</x:f>
        <x:v>2.5700000000000074</x:v>
      </x:c>
    </x:row>
    <x:row r="21">
      <x:c r="A21" t="n">
        <x:v>20</x:v>
      </x:c>
      <x:c r="B21" t="str">
        <x:v>PN-03-00020</x:v>
      </x:c>
      <x:c r="C21" t="str">
        <x:v>Automation component 20 / 零件 20</x:v>
      </x:c>
      <x:c r="D21" s="8" t="n">
        <x:v>4</x:v>
      </x:c>
      <x:c r="E21" s="8" t="n">
        <x:v>29.9</x:v>
      </x:c>
      <x:c r="F21" s="8" t="n">
        <x:f>D21*E21</x:f>
        <x:v>119.6</x:v>
      </x:c>
      <x:c r="G21" t="str">
        <x:v>Hold</x:v>
      </x:c>
      <x:c r="H21" t="str">
        <x:v>Production</x:v>
      </x:c>
      <x:c r="I21" s="10" t="n">
        <x:v>46043</x:v>
      </x:c>
      <x:c r="J21" t="n">
        <x:f>F21-ROUND(F21*0.97,2)</x:f>
        <x:v>3.589999999999989</x:v>
      </x:c>
    </x:row>
    <x:row r="22">
      <x:c r="A22" t="n">
        <x:v>21</x:v>
      </x:c>
      <x:c r="B22" t="str">
        <x:v>PN-03-00021</x:v>
      </x:c>
      <x:c r="C22" t="str">
        <x:v>Automation component 21 / 零件 21</x:v>
      </x:c>
      <x:c r="D22" s="8" t="n">
        <x:v>5</x:v>
      </x:c>
      <x:c r="E22" s="8" t="n">
        <x:v>31.27</x:v>
      </x:c>
      <x:c r="F22" s="8" t="n">
        <x:f>D22*E22</x:f>
        <x:v>156.35</x:v>
      </x:c>
      <x:c r="G22" t="str">
        <x:v>Open</x:v>
      </x:c>
      <x:c r="H22" t="str">
        <x:v>Engineering</x:v>
      </x:c>
      <x:c r="I22" s="10" t="n">
        <x:v>46044</x:v>
      </x:c>
      <x:c r="J22" t="n">
        <x:f>F22-ROUND(F22*0.97,2)</x:f>
        <x:v>4.689999999999998</x:v>
      </x:c>
    </x:row>
    <x:row r="23">
      <x:c r="A23" t="n">
        <x:v>22</x:v>
      </x:c>
      <x:c r="B23" t="str">
        <x:v>PN-03-00022</x:v>
      </x:c>
      <x:c r="C23" t="str">
        <x:v>Automation component 22 / 零件 22</x:v>
      </x:c>
      <x:c r="D23" s="8" t="n">
        <x:v>6</x:v>
      </x:c>
      <x:c r="E23" s="8" t="n">
        <x:v>32.64</x:v>
      </x:c>
      <x:c r="F23" s="8" t="n">
        <x:f>D23*E23</x:f>
        <x:v>195.84</x:v>
      </x:c>
      <x:c r="G23" t="str">
        <x:v>Approved</x:v>
      </x:c>
      <x:c r="H23" t="str">
        <x:v>Quality</x:v>
      </x:c>
      <x:c r="I23" s="10" t="n">
        <x:v>46045</x:v>
      </x:c>
      <x:c r="J23" t="n">
        <x:f>F23-ROUND(F23*0.97,2)</x:f>
        <x:v>5.8799999999999955</x:v>
      </x:c>
    </x:row>
    <x:row r="24">
      <x:c r="A24" t="n">
        <x:v>23</x:v>
      </x:c>
      <x:c r="B24" t="str">
        <x:v>PN-03-00023</x:v>
      </x:c>
      <x:c r="C24" t="str">
        <x:v>Automation component 23 / 零件 23</x:v>
      </x:c>
      <x:c r="D24" s="8" t="n">
        <x:v>7</x:v>
      </x:c>
      <x:c r="E24" s="8" t="n">
        <x:v>34.01</x:v>
      </x:c>
      <x:c r="F24" s="8" t="n">
        <x:f>D24*E24</x:f>
        <x:v>238.07</x:v>
      </x:c>
      <x:c r="G24" t="str">
        <x:v>Hold</x:v>
      </x:c>
      <x:c r="H24" t="str">
        <x:v>Production</x:v>
      </x:c>
      <x:c r="I24" s="10" t="n">
        <x:v>46046</x:v>
      </x:c>
      <x:c r="J24" t="n">
        <x:f>F24-ROUND(F24*0.97,2)</x:f>
        <x:v>7.139999999999986</x:v>
      </x:c>
    </x:row>
    <x:row r="25">
      <x:c r="A25" t="n">
        <x:v>24</x:v>
      </x:c>
      <x:c r="B25" t="str">
        <x:v>PN-03-00024</x:v>
      </x:c>
      <x:c r="C25" t="str">
        <x:v>Automation component 24 / 零件 24</x:v>
      </x:c>
      <x:c r="D25" s="8" t="n">
        <x:v>8</x:v>
      </x:c>
      <x:c r="E25" s="8" t="n">
        <x:v>35.38</x:v>
      </x:c>
      <x:c r="F25" s="8" t="n">
        <x:f>D25*E25</x:f>
        <x:v>283.04</x:v>
      </x:c>
      <x:c r="G25" t="str">
        <x:v>Open</x:v>
      </x:c>
      <x:c r="H25" t="str">
        <x:v>Engineering</x:v>
      </x:c>
      <x:c r="I25" s="10" t="n">
        <x:v>46047</x:v>
      </x:c>
      <x:c r="J25" t="n">
        <x:f>F25-ROUND(F25*0.97,2)</x:f>
        <x:v>8.490000000000009</x:v>
      </x:c>
    </x:row>
    <x:row r="26">
      <x:c r="A26" t="n">
        <x:v>25</x:v>
      </x:c>
      <x:c r="B26" t="str">
        <x:v>PN-03-00025</x:v>
      </x:c>
      <x:c r="C26" t="str">
        <x:v>Automation component 25 / 零件 25</x:v>
      </x:c>
      <x:c r="D26" s="8" t="n">
        <x:v>9</x:v>
      </x:c>
      <x:c r="E26" s="8" t="n">
        <x:v>36.75</x:v>
      </x:c>
      <x:c r="F26" s="8" t="n">
        <x:f>D26*E26</x:f>
        <x:v>330.75</x:v>
      </x:c>
      <x:c r="G26" t="str">
        <x:v>Approved</x:v>
      </x:c>
      <x:c r="H26" t="str">
        <x:v>Quality</x:v>
      </x:c>
      <x:c r="I26" s="10" t="n">
        <x:v>46048</x:v>
      </x:c>
      <x:c r="J26" t="n">
        <x:f>F26-ROUND(F26*0.97,2)</x:f>
        <x:v>9.920000000000016</x:v>
      </x:c>
    </x:row>
    <x:row r="27">
      <x:c r="A27" t="n">
        <x:v>26</x:v>
      </x:c>
      <x:c r="B27" t="str">
        <x:v>PN-03-00026</x:v>
      </x:c>
      <x:c r="C27" t="str">
        <x:v>Automation component 26 / 零件 26</x:v>
      </x:c>
      <x:c r="D27" s="8" t="n">
        <x:v>10</x:v>
      </x:c>
      <x:c r="E27" s="8" t="n">
        <x:v>38.12</x:v>
      </x:c>
      <x:c r="F27" s="8" t="n">
        <x:f>D27*E27</x:f>
        <x:v>381.2</x:v>
      </x:c>
      <x:c r="G27" t="str">
        <x:v>Hold</x:v>
      </x:c>
      <x:c r="H27" t="str">
        <x:v>Production</x:v>
      </x:c>
      <x:c r="I27" s="10" t="n">
        <x:v>46049</x:v>
      </x:c>
      <x:c r="J27" t="n">
        <x:f>F27-ROUND(F27*0.97,2)</x:f>
        <x:v>11.439999999999998</x:v>
      </x:c>
    </x:row>
    <x:row r="28">
      <x:c r="A28" t="n">
        <x:v>27</x:v>
      </x:c>
      <x:c r="B28" t="str">
        <x:v>PN-03-00027</x:v>
      </x:c>
      <x:c r="C28" t="str">
        <x:v>Automation component 27 / 零件 27</x:v>
      </x:c>
      <x:c r="D28" s="8" t="n">
        <x:v>11</x:v>
      </x:c>
      <x:c r="E28" s="8" t="n">
        <x:v>39.49</x:v>
      </x:c>
      <x:c r="F28" s="8" t="n">
        <x:f>D28*E28</x:f>
        <x:v>434.39000000000004</x:v>
      </x:c>
      <x:c r="G28" t="str">
        <x:v>Open</x:v>
      </x:c>
      <x:c r="H28" t="str">
        <x:v>Engineering</x:v>
      </x:c>
      <x:c r="I28" s="10" t="n">
        <x:v>46050</x:v>
      </x:c>
      <x:c r="J28" t="n">
        <x:f>F28-ROUND(F28*0.97,2)</x:f>
        <x:v>13.03000000000003</x:v>
      </x:c>
    </x:row>
    <x:row r="29">
      <x:c r="A29" t="n">
        <x:v>28</x:v>
      </x:c>
      <x:c r="B29" t="str">
        <x:v>PN-03-00028</x:v>
      </x:c>
      <x:c r="C29" t="str">
        <x:v>Automation component 28 / 零件 28</x:v>
      </x:c>
      <x:c r="D29" s="8" t="n">
        <x:v>12</x:v>
      </x:c>
      <x:c r="E29" s="8" t="n">
        <x:v>40.86</x:v>
      </x:c>
      <x:c r="F29" s="8" t="n">
        <x:f>D29*E29</x:f>
        <x:v>490.32</x:v>
      </x:c>
      <x:c r="G29" t="str">
        <x:v>Approved</x:v>
      </x:c>
      <x:c r="H29" t="str">
        <x:v>Quality</x:v>
      </x:c>
      <x:c r="I29" s="10" t="n">
        <x:v>46051</x:v>
      </x:c>
      <x:c r="J29" t="n">
        <x:f>F29-ROUND(F29*0.97,2)</x:f>
        <x:v>14.70999999999998</x:v>
      </x:c>
    </x:row>
    <x:row r="30">
      <x:c r="A30" t="n">
        <x:v>29</x:v>
      </x:c>
      <x:c r="B30" t="str">
        <x:v>PN-03-00029</x:v>
      </x:c>
      <x:c r="C30" t="str">
        <x:v>Automation component 29 / 零件 29</x:v>
      </x:c>
      <x:c r="D30" s="8" t="n">
        <x:v>13</x:v>
      </x:c>
      <x:c r="E30" s="8" t="n">
        <x:v>42.23</x:v>
      </x:c>
      <x:c r="F30" s="8" t="n">
        <x:f>D30*E30</x:f>
        <x:v>548.99</x:v>
      </x:c>
      <x:c r="G30" t="str">
        <x:v>Hold</x:v>
      </x:c>
      <x:c r="H30" t="str">
        <x:v>Production</x:v>
      </x:c>
      <x:c r="I30" s="10" t="n">
        <x:v>46052</x:v>
      </x:c>
      <x:c r="J30" t="n">
        <x:f>F30-ROUND(F30*0.97,2)</x:f>
        <x:v>16.470000000000027</x:v>
      </x:c>
    </x:row>
    <x:row r="31">
      <x:c r="A31" t="n">
        <x:v>30</x:v>
      </x:c>
      <x:c r="B31" t="str">
        <x:v>PN-03-00030</x:v>
      </x:c>
      <x:c r="C31" t="str">
        <x:v>Automation component 30 / 零件 30</x:v>
      </x:c>
      <x:c r="D31" s="8" t="n">
        <x:v>14</x:v>
      </x:c>
      <x:c r="E31" s="8" t="n">
        <x:v>43.6</x:v>
      </x:c>
      <x:c r="F31" s="8" t="n">
        <x:f>D31*E31</x:f>
        <x:v>610.4</x:v>
      </x:c>
      <x:c r="G31" t="str">
        <x:v>Open</x:v>
      </x:c>
      <x:c r="H31" t="str">
        <x:v>Engineering</x:v>
      </x:c>
      <x:c r="I31" s="10" t="n">
        <x:v>46053</x:v>
      </x:c>
      <x:c r="J31" t="n">
        <x:f>F31-ROUND(F31*0.97,2)</x:f>
        <x:v>18.309999999999945</x:v>
      </x:c>
    </x:row>
    <x:row r="32">
      <x:c r="A32" t="n">
        <x:v>31</x:v>
      </x:c>
      <x:c r="B32" t="str">
        <x:v>PN-03-00031</x:v>
      </x:c>
      <x:c r="C32" t="str">
        <x:v>Automation component 31 / 零件 31</x:v>
      </x:c>
      <x:c r="D32" s="8" t="n">
        <x:v>15</x:v>
      </x:c>
      <x:c r="E32" s="8" t="n">
        <x:v>44.97</x:v>
      </x:c>
      <x:c r="F32" s="8" t="n">
        <x:f>D32*E32</x:f>
        <x:v>674.55</x:v>
      </x:c>
      <x:c r="G32" t="str">
        <x:v>Approved</x:v>
      </x:c>
      <x:c r="H32" t="str">
        <x:v>Quality</x:v>
      </x:c>
      <x:c r="I32" s="10" t="n">
        <x:v>46054</x:v>
      </x:c>
      <x:c r="J32" t="n">
        <x:f>F32-ROUND(F32*0.97,2)</x:f>
        <x:v>20.24000000000001</x:v>
      </x:c>
    </x:row>
    <x:row r="33">
      <x:c r="A33" t="n">
        <x:v>32</x:v>
      </x:c>
      <x:c r="B33" t="str">
        <x:v>PN-03-00032</x:v>
      </x:c>
      <x:c r="C33" t="str">
        <x:v>Automation component 32 / 零件 32</x:v>
      </x:c>
      <x:c r="D33" s="8" t="n">
        <x:v>16</x:v>
      </x:c>
      <x:c r="E33" s="8" t="n">
        <x:v>46.34</x:v>
      </x:c>
      <x:c r="F33" s="8" t="n">
        <x:f>D33*E33</x:f>
        <x:v>741.44</x:v>
      </x:c>
      <x:c r="G33" t="str">
        <x:v>Hold</x:v>
      </x:c>
      <x:c r="H33" t="str">
        <x:v>Production</x:v>
      </x:c>
      <x:c r="I33" s="10" t="n">
        <x:v>46055</x:v>
      </x:c>
      <x:c r="J33" t="n">
        <x:f>F33-ROUND(F33*0.97,2)</x:f>
        <x:v>22.24000000000001</x:v>
      </x:c>
    </x:row>
    <x:row r="34">
      <x:c r="A34" t="n">
        <x:v>33</x:v>
      </x:c>
      <x:c r="B34" t="str">
        <x:v>PN-03-00033</x:v>
      </x:c>
      <x:c r="C34" t="str">
        <x:v>Automation component 33 / 零件 33</x:v>
      </x:c>
      <x:c r="D34" s="8" t="n">
        <x:v>17</x:v>
      </x:c>
      <x:c r="E34" s="8" t="n">
        <x:v>47.71</x:v>
      </x:c>
      <x:c r="F34" s="8" t="n">
        <x:f>D34*E34</x:f>
        <x:v>811.07</x:v>
      </x:c>
      <x:c r="G34" t="str">
        <x:v>Open</x:v>
      </x:c>
      <x:c r="H34" t="str">
        <x:v>Engineering</x:v>
      </x:c>
      <x:c r="I34" s="10" t="n">
        <x:v>46056</x:v>
      </x:c>
      <x:c r="J34" t="n">
        <x:f>F34-ROUND(F34*0.97,2)</x:f>
        <x:v>24.33000000000004</x:v>
      </x:c>
    </x:row>
    <x:row r="35">
      <x:c r="A35" t="n">
        <x:v>34</x:v>
      </x:c>
      <x:c r="B35" t="str">
        <x:v>PN-03-00034</x:v>
      </x:c>
      <x:c r="C35" t="str">
        <x:v>Automation component 34 / 零件 34</x:v>
      </x:c>
      <x:c r="D35" s="8" t="n">
        <x:v>1</x:v>
      </x:c>
      <x:c r="E35" s="8" t="n">
        <x:v>49.08</x:v>
      </x:c>
      <x:c r="F35" s="8" t="n">
        <x:f>D35*E35</x:f>
        <x:v>49.08</x:v>
      </x:c>
      <x:c r="G35" t="str">
        <x:v>Approved</x:v>
      </x:c>
      <x:c r="H35" t="str">
        <x:v>Quality</x:v>
      </x:c>
      <x:c r="I35" s="10" t="n">
        <x:v>46057</x:v>
      </x:c>
      <x:c r="J35" t="n">
        <x:f>F35-ROUND(F35*0.97,2)</x:f>
        <x:v>1.4699999999999989</x:v>
      </x:c>
    </x:row>
    <x:row r="36">
      <x:c r="A36" t="n">
        <x:v>35</x:v>
      </x:c>
      <x:c r="B36" t="str">
        <x:v>PN-03-00035</x:v>
      </x:c>
      <x:c r="C36" t="str">
        <x:v>Automation component 35 / 零件 35</x:v>
      </x:c>
      <x:c r="D36" s="8" t="n">
        <x:v>2</x:v>
      </x:c>
      <x:c r="E36" s="8" t="n">
        <x:v>50.45</x:v>
      </x:c>
      <x:c r="F36" s="8" t="n">
        <x:f>D36*E36</x:f>
        <x:v>100.9</x:v>
      </x:c>
      <x:c r="G36" t="str">
        <x:v>Hold</x:v>
      </x:c>
      <x:c r="H36" t="str">
        <x:v>Production</x:v>
      </x:c>
      <x:c r="I36" s="10" t="n">
        <x:v>46058</x:v>
      </x:c>
      <x:c r="J36" t="n">
        <x:f>F36-ROUND(F36*0.97,2)</x:f>
        <x:v>3.030000000000001</x:v>
      </x:c>
    </x:row>
    <x:row r="37">
      <x:c r="A37" t="n">
        <x:v>36</x:v>
      </x:c>
      <x:c r="B37" t="str">
        <x:v>PN-03-00036</x:v>
      </x:c>
      <x:c r="C37" t="str">
        <x:v>Automation component 36 / 零件 36</x:v>
      </x:c>
      <x:c r="D37" s="8" t="n">
        <x:v>3</x:v>
      </x:c>
      <x:c r="E37" s="8" t="n">
        <x:v>51.82</x:v>
      </x:c>
      <x:c r="F37" s="8" t="n">
        <x:f>D37*E37</x:f>
        <x:v>155.46</x:v>
      </x:c>
      <x:c r="G37" t="str">
        <x:v>Open</x:v>
      </x:c>
      <x:c r="H37" t="str">
        <x:v>Engineering</x:v>
      </x:c>
      <x:c r="I37" s="10" t="n">
        <x:v>46059</x:v>
      </x:c>
      <x:c r="J37" t="n">
        <x:f>F37-ROUND(F37*0.97,2)</x:f>
        <x:v>4.659999999999997</x:v>
      </x:c>
    </x:row>
    <x:row r="38">
      <x:c r="A38" t="n">
        <x:v>37</x:v>
      </x:c>
      <x:c r="B38" t="str">
        <x:v>PN-03-00037</x:v>
      </x:c>
      <x:c r="C38" t="str">
        <x:v>Automation component 37 / 零件 37</x:v>
      </x:c>
      <x:c r="D38" s="8" t="n">
        <x:v>4</x:v>
      </x:c>
      <x:c r="E38" s="8" t="n">
        <x:v>53.19</x:v>
      </x:c>
      <x:c r="F38" s="8" t="n">
        <x:f>D38*E38</x:f>
        <x:v>212.76</x:v>
      </x:c>
      <x:c r="G38" t="str">
        <x:v>Approved</x:v>
      </x:c>
      <x:c r="H38" t="str">
        <x:v>Quality</x:v>
      </x:c>
      <x:c r="I38" s="10" t="n">
        <x:v>46060</x:v>
      </x:c>
      <x:c r="J38" t="n">
        <x:f>F38-ROUND(F38*0.97,2)</x:f>
        <x:v>6.3799999999999955</x:v>
      </x:c>
    </x:row>
    <x:row r="39">
      <x:c r="A39" t="n">
        <x:v>38</x:v>
      </x:c>
      <x:c r="B39" t="str">
        <x:v>PN-03-00038</x:v>
      </x:c>
      <x:c r="C39" t="str">
        <x:v>Automation component 38 / 零件 38</x:v>
      </x:c>
      <x:c r="D39" s="8" t="n">
        <x:v>5</x:v>
      </x:c>
      <x:c r="E39" s="8" t="n">
        <x:v>54.56</x:v>
      </x:c>
      <x:c r="F39" s="8" t="n">
        <x:f>D39*E39</x:f>
        <x:v>272.8</x:v>
      </x:c>
      <x:c r="G39" t="str">
        <x:v>Hold</x:v>
      </x:c>
      <x:c r="H39" t="str">
        <x:v>Production</x:v>
      </x:c>
      <x:c r="I39" s="10" t="n">
        <x:v>46061</x:v>
      </x:c>
      <x:c r="J39" t="n">
        <x:f>F39-ROUND(F39*0.97,2)</x:f>
        <x:v>8.180000000000007</x:v>
      </x:c>
    </x:row>
    <x:row r="40">
      <x:c r="A40" t="n">
        <x:v>39</x:v>
      </x:c>
      <x:c r="B40" t="str">
        <x:v>PN-03-00039</x:v>
      </x:c>
      <x:c r="C40" t="str">
        <x:v>Automation component 39 / 零件 39</x:v>
      </x:c>
      <x:c r="D40" s="8" t="n">
        <x:v>6</x:v>
      </x:c>
      <x:c r="E40" s="8" t="n">
        <x:v>55.93</x:v>
      </x:c>
      <x:c r="F40" s="8" t="n">
        <x:f>D40*E40</x:f>
        <x:v>335.58</x:v>
      </x:c>
      <x:c r="G40" t="str">
        <x:v>Open</x:v>
      </x:c>
      <x:c r="H40" t="str">
        <x:v>Engineering</x:v>
      </x:c>
      <x:c r="I40" s="10" t="n">
        <x:v>46062</x:v>
      </x:c>
      <x:c r="J40" t="n">
        <x:f>F40-ROUND(F40*0.97,2)</x:f>
        <x:v>10.069999999999993</x:v>
      </x:c>
    </x:row>
    <x:row r="41">
      <x:c r="A41" t="n">
        <x:v>40</x:v>
      </x:c>
      <x:c r="B41" t="str">
        <x:v>PN-03-00040</x:v>
      </x:c>
      <x:c r="C41" t="str">
        <x:v>Automation component 40 / 零件 40</x:v>
      </x:c>
      <x:c r="D41" s="8" t="n">
        <x:v>7</x:v>
      </x:c>
      <x:c r="E41" s="8" t="n">
        <x:v>57.3</x:v>
      </x:c>
      <x:c r="F41" s="8" t="n">
        <x:f>D41*E41</x:f>
        <x:v>401.09999999999997</x:v>
      </x:c>
      <x:c r="G41" t="str">
        <x:v>Approved</x:v>
      </x:c>
      <x:c r="H41" t="str">
        <x:v>Quality</x:v>
      </x:c>
      <x:c r="I41" s="10" t="n">
        <x:v>46063</x:v>
      </x:c>
      <x:c r="J41" t="n">
        <x:f>F41-ROUND(F41*0.97,2)</x:f>
        <x:v>12.029999999999973</x:v>
      </x:c>
    </x:row>
    <x:row r="42">
      <x:c r="A42" t="n">
        <x:v>41</x:v>
      </x:c>
      <x:c r="B42" t="str">
        <x:v>PN-03-00041</x:v>
      </x:c>
      <x:c r="C42" t="str">
        <x:v>Automation component 41 / 零件 41</x:v>
      </x:c>
      <x:c r="D42" s="8" t="n">
        <x:v>8</x:v>
      </x:c>
      <x:c r="E42" s="8" t="n">
        <x:v>58.67</x:v>
      </x:c>
      <x:c r="F42" s="8" t="n">
        <x:f>D42*E42</x:f>
        <x:v>469.36</x:v>
      </x:c>
      <x:c r="G42" t="str">
        <x:v>Hold</x:v>
      </x:c>
      <x:c r="H42" t="str">
        <x:v>Production</x:v>
      </x:c>
      <x:c r="I42" s="10" t="n">
        <x:v>46064</x:v>
      </x:c>
      <x:c r="J42" t="n">
        <x:f>F42-ROUND(F42*0.97,2)</x:f>
        <x:v>14.080000000000041</x:v>
      </x:c>
    </x:row>
    <x:row r="43">
      <x:c r="A43" t="n">
        <x:v>42</x:v>
      </x:c>
      <x:c r="B43" t="str">
        <x:v>PN-03-00042</x:v>
      </x:c>
      <x:c r="C43" t="str">
        <x:v>Automation component 42 / 零件 42</x:v>
      </x:c>
      <x:c r="D43" s="8" t="n">
        <x:v>9</x:v>
      </x:c>
      <x:c r="E43" s="8" t="n">
        <x:v>60.04</x:v>
      </x:c>
      <x:c r="F43" s="8" t="n">
        <x:f>D43*E43</x:f>
        <x:v>540.36</x:v>
      </x:c>
      <x:c r="G43" t="str">
        <x:v>Open</x:v>
      </x:c>
      <x:c r="H43" t="str">
        <x:v>Engineering</x:v>
      </x:c>
      <x:c r="I43" s="10" t="n">
        <x:v>46065</x:v>
      </x:c>
      <x:c r="J43" t="n">
        <x:f>F43-ROUND(F43*0.97,2)</x:f>
        <x:v>16.210000000000036</x:v>
      </x:c>
    </x:row>
    <x:row r="44">
      <x:c r="A44" t="n">
        <x:v>43</x:v>
      </x:c>
      <x:c r="B44" t="str">
        <x:v>PN-03-00043</x:v>
      </x:c>
      <x:c r="C44" t="str">
        <x:v>Automation component 43 / 零件 43</x:v>
      </x:c>
      <x:c r="D44" s="8" t="n">
        <x:v>10</x:v>
      </x:c>
      <x:c r="E44" s="8" t="n">
        <x:v>61.41</x:v>
      </x:c>
      <x:c r="F44" s="8" t="n">
        <x:f>D44*E44</x:f>
        <x:v>614.0999999999999</x:v>
      </x:c>
      <x:c r="G44" t="str">
        <x:v>Approved</x:v>
      </x:c>
      <x:c r="H44" t="str">
        <x:v>Quality</x:v>
      </x:c>
      <x:c r="I44" s="10" t="n">
        <x:v>46066</x:v>
      </x:c>
      <x:c r="J44" t="n">
        <x:f>F44-ROUND(F44*0.97,2)</x:f>
        <x:v>18.41999999999996</x:v>
      </x:c>
    </x:row>
    <x:row r="45">
      <x:c r="A45" t="n">
        <x:v>44</x:v>
      </x:c>
      <x:c r="B45" t="str">
        <x:v>PN-03-00044</x:v>
      </x:c>
      <x:c r="C45" t="str">
        <x:v>Automation component 44 / 零件 44</x:v>
      </x:c>
      <x:c r="D45" s="8" t="n">
        <x:v>11</x:v>
      </x:c>
      <x:c r="E45" s="8" t="n">
        <x:v>62.78</x:v>
      </x:c>
      <x:c r="F45" s="8" t="n">
        <x:f>D45*E45</x:f>
        <x:v>690.58</x:v>
      </x:c>
      <x:c r="G45" t="str">
        <x:v>Hold</x:v>
      </x:c>
      <x:c r="H45" t="str">
        <x:v>Production</x:v>
      </x:c>
      <x:c r="I45" s="10" t="n">
        <x:v>46067</x:v>
      </x:c>
      <x:c r="J45" t="n">
        <x:f>F45-ROUND(F45*0.97,2)</x:f>
        <x:v>20.720000000000027</x:v>
      </x:c>
    </x:row>
    <x:row r="46">
      <x:c r="A46" t="n">
        <x:v>45</x:v>
      </x:c>
      <x:c r="B46" t="str">
        <x:v>PN-03-00045</x:v>
      </x:c>
      <x:c r="C46" t="str">
        <x:v>Automation component 45 / 零件 45</x:v>
      </x:c>
      <x:c r="D46" s="8" t="n">
        <x:v>12</x:v>
      </x:c>
      <x:c r="E46" s="8" t="n">
        <x:v>64.15</x:v>
      </x:c>
      <x:c r="F46" s="8" t="n">
        <x:f>D46*E46</x:f>
        <x:v>769.8000000000001</x:v>
      </x:c>
      <x:c r="G46" t="str">
        <x:v>Open</x:v>
      </x:c>
      <x:c r="H46" t="str">
        <x:v>Engineering</x:v>
      </x:c>
      <x:c r="I46" s="10" t="n">
        <x:v>46068</x:v>
      </x:c>
      <x:c r="J46" t="n">
        <x:f>F46-ROUND(F46*0.97,2)</x:f>
        <x:v>23.090000000000032</x:v>
      </x:c>
    </x:row>
    <x:row r="47">
      <x:c r="A47" t="n">
        <x:v>46</x:v>
      </x:c>
      <x:c r="B47" t="str">
        <x:v>PN-03-00046</x:v>
      </x:c>
      <x:c r="C47" t="str">
        <x:v>Automation component 46 / 零件 46</x:v>
      </x:c>
      <x:c r="D47" s="8" t="n">
        <x:v>13</x:v>
      </x:c>
      <x:c r="E47" s="8" t="n">
        <x:v>65.52</x:v>
      </x:c>
      <x:c r="F47" s="8" t="n">
        <x:f>D47*E47</x:f>
        <x:v>851.76</x:v>
      </x:c>
      <x:c r="G47" t="str">
        <x:v>Approved</x:v>
      </x:c>
      <x:c r="H47" t="str">
        <x:v>Quality</x:v>
      </x:c>
      <x:c r="I47" s="10" t="n">
        <x:v>46069</x:v>
      </x:c>
      <x:c r="J47" t="n">
        <x:f>F47-ROUND(F47*0.97,2)</x:f>
        <x:v>25.549999999999955</x:v>
      </x:c>
    </x:row>
    <x:row r="48">
      <x:c r="A48" t="n">
        <x:v>47</x:v>
      </x:c>
      <x:c r="B48" t="str">
        <x:v>PN-03-00047</x:v>
      </x:c>
      <x:c r="C48" t="str">
        <x:v>Automation component 47 / 零件 47</x:v>
      </x:c>
      <x:c r="D48" s="8" t="n">
        <x:v>14</x:v>
      </x:c>
      <x:c r="E48" s="8" t="n">
        <x:v>66.89</x:v>
      </x:c>
      <x:c r="F48" s="8" t="n">
        <x:f>D48*E48</x:f>
        <x:v>936.46</x:v>
      </x:c>
      <x:c r="G48" t="str">
        <x:v>Hold</x:v>
      </x:c>
      <x:c r="H48" t="str">
        <x:v>Production</x:v>
      </x:c>
      <x:c r="I48" s="10" t="n">
        <x:v>46070</x:v>
      </x:c>
      <x:c r="J48" t="n">
        <x:f>F48-ROUND(F48*0.97,2)</x:f>
        <x:v>28.090000000000032</x:v>
      </x:c>
    </x:row>
    <x:row r="49">
      <x:c r="A49" t="n">
        <x:v>48</x:v>
      </x:c>
      <x:c r="B49" t="str">
        <x:v>PN-03-00048</x:v>
      </x:c>
      <x:c r="C49" t="str">
        <x:v>Automation component 48 / 零件 48</x:v>
      </x:c>
      <x:c r="D49" s="8" t="n">
        <x:v>15</x:v>
      </x:c>
      <x:c r="E49" s="8" t="n">
        <x:v>68.26</x:v>
      </x:c>
      <x:c r="F49" s="8" t="n">
        <x:f>D49*E49</x:f>
        <x:v>1023.9000000000001</x:v>
      </x:c>
      <x:c r="G49" t="str">
        <x:v>Open</x:v>
      </x:c>
      <x:c r="H49" t="str">
        <x:v>Engineering</x:v>
      </x:c>
      <x:c r="I49" s="10" t="n">
        <x:v>46071</x:v>
      </x:c>
      <x:c r="J49" t="n">
        <x:f>F49-ROUND(F49*0.97,2)</x:f>
        <x:v>30.72000000000014</x:v>
      </x:c>
    </x:row>
    <x:row r="50">
      <x:c r="A50" t="n">
        <x:v>49</x:v>
      </x:c>
      <x:c r="B50" t="str">
        <x:v>PN-03-00049</x:v>
      </x:c>
      <x:c r="C50" t="str">
        <x:v>Automation component 49 / 零件 49</x:v>
      </x:c>
      <x:c r="D50" s="8" t="n">
        <x:v>16</x:v>
      </x:c>
      <x:c r="E50" s="8" t="n">
        <x:v>69.63</x:v>
      </x:c>
      <x:c r="F50" s="8" t="n">
        <x:f>D50*E50</x:f>
        <x:v>1114.08</x:v>
      </x:c>
      <x:c r="G50" t="str">
        <x:v>Approved</x:v>
      </x:c>
      <x:c r="H50" t="str">
        <x:v>Quality</x:v>
      </x:c>
      <x:c r="I50" s="10" t="n">
        <x:v>46072</x:v>
      </x:c>
      <x:c r="J50" t="n">
        <x:f>F50-ROUND(F50*0.97,2)</x:f>
        <x:v>33.419999999999845</x:v>
      </x:c>
    </x:row>
    <x:row r="51">
      <x:c r="A51" t="n">
        <x:v>50</x:v>
      </x:c>
      <x:c r="B51" t="str">
        <x:v>PN-03-00050</x:v>
      </x:c>
      <x:c r="C51" t="str">
        <x:v>Automation component 50 / 零件 50</x:v>
      </x:c>
      <x:c r="D51" s="8" t="n">
        <x:v>17</x:v>
      </x:c>
      <x:c r="E51" s="8" t="n">
        <x:v>71</x:v>
      </x:c>
      <x:c r="F51" s="8" t="n">
        <x:f>D51*E51</x:f>
        <x:v>1207</x:v>
      </x:c>
      <x:c r="G51" t="str">
        <x:v>Hold</x:v>
      </x:c>
      <x:c r="H51" t="str">
        <x:v>Production</x:v>
      </x:c>
      <x:c r="I51" s="10" t="n">
        <x:v>46073</x:v>
      </x:c>
      <x:c r="J51" t="n">
        <x:f>F51-ROUND(F51*0.97,2)</x:f>
        <x:v>36.210000000000036</x:v>
      </x:c>
    </x:row>
    <x:row r="52">
      <x:c r="A52" t="n">
        <x:v>51</x:v>
      </x:c>
      <x:c r="B52" t="str">
        <x:v>PN-03-00051</x:v>
      </x:c>
      <x:c r="C52" t="str">
        <x:v>Automation component 51 / 零件 51</x:v>
      </x:c>
      <x:c r="D52" s="8" t="n">
        <x:v>1</x:v>
      </x:c>
      <x:c r="E52" s="8" t="n">
        <x:v>72.37</x:v>
      </x:c>
      <x:c r="F52" s="8" t="n">
        <x:f>D52*E52</x:f>
        <x:v>72.37</x:v>
      </x:c>
      <x:c r="G52" t="str">
        <x:v>Open</x:v>
      </x:c>
      <x:c r="H52" t="str">
        <x:v>Engineering</x:v>
      </x:c>
      <x:c r="I52" s="10" t="n">
        <x:v>46074</x:v>
      </x:c>
      <x:c r="J52" t="n">
        <x:f>F52-ROUND(F52*0.97,2)</x:f>
        <x:v>2.1700000000000017</x:v>
      </x:c>
    </x:row>
    <x:row r="53">
      <x:c r="A53" t="n">
        <x:v>52</x:v>
      </x:c>
      <x:c r="B53" t="str">
        <x:v>PN-03-00052</x:v>
      </x:c>
      <x:c r="C53" t="str">
        <x:v>Automation component 52 / 零件 52</x:v>
      </x:c>
      <x:c r="D53" s="8" t="n">
        <x:v>2</x:v>
      </x:c>
      <x:c r="E53" s="8" t="n">
        <x:v>73.74</x:v>
      </x:c>
      <x:c r="F53" s="8" t="n">
        <x:f>D53*E53</x:f>
        <x:v>147.48</x:v>
      </x:c>
      <x:c r="G53" t="str">
        <x:v>Approved</x:v>
      </x:c>
      <x:c r="H53" t="str">
        <x:v>Quality</x:v>
      </x:c>
      <x:c r="I53" s="10" t="n">
        <x:v>46075</x:v>
      </x:c>
      <x:c r="J53" t="n">
        <x:f>F53-ROUND(F53*0.97,2)</x:f>
        <x:v>4.4199999999999875</x:v>
      </x:c>
    </x:row>
    <x:row r="54">
      <x:c r="A54" t="n">
        <x:v>53</x:v>
      </x:c>
      <x:c r="B54" t="str">
        <x:v>PN-03-00053</x:v>
      </x:c>
      <x:c r="C54" t="str">
        <x:v>Automation component 53 / 零件 53</x:v>
      </x:c>
      <x:c r="D54" s="8" t="n">
        <x:v>3</x:v>
      </x:c>
      <x:c r="E54" s="8" t="n">
        <x:v>75.11</x:v>
      </x:c>
      <x:c r="F54" s="8" t="n">
        <x:f>D54*E54</x:f>
        <x:v>225.32999999999998</x:v>
      </x:c>
      <x:c r="G54" t="str">
        <x:v>Hold</x:v>
      </x:c>
      <x:c r="H54" t="str">
        <x:v>Production</x:v>
      </x:c>
      <x:c r="I54" s="10" t="n">
        <x:v>46076</x:v>
      </x:c>
      <x:c r="J54" t="n">
        <x:f>F54-ROUND(F54*0.97,2)</x:f>
        <x:v>6.759999999999991</x:v>
      </x:c>
    </x:row>
    <x:row r="55">
      <x:c r="A55" t="n">
        <x:v>54</x:v>
      </x:c>
      <x:c r="B55" t="str">
        <x:v>PN-03-00054</x:v>
      </x:c>
      <x:c r="C55" t="str">
        <x:v>Automation component 54 / 零件 54</x:v>
      </x:c>
      <x:c r="D55" s="8" t="n">
        <x:v>4</x:v>
      </x:c>
      <x:c r="E55" s="8" t="n">
        <x:v>76.48</x:v>
      </x:c>
      <x:c r="F55" s="8" t="n">
        <x:f>D55*E55</x:f>
        <x:v>305.92</x:v>
      </x:c>
      <x:c r="G55" t="str">
        <x:v>Open</x:v>
      </x:c>
      <x:c r="H55" t="str">
        <x:v>Engineering</x:v>
      </x:c>
      <x:c r="I55" s="10" t="n">
        <x:v>46077</x:v>
      </x:c>
      <x:c r="J55" t="n">
        <x:f>F55-ROUND(F55*0.97,2)</x:f>
        <x:v>9.180000000000007</x:v>
      </x:c>
    </x:row>
    <x:row r="56">
      <x:c r="A56" t="n">
        <x:v>55</x:v>
      </x:c>
      <x:c r="B56" t="str">
        <x:v>PN-03-00055</x:v>
      </x:c>
      <x:c r="C56" t="str">
        <x:v>Automation component 55 / 零件 55</x:v>
      </x:c>
      <x:c r="D56" s="8" t="n">
        <x:v>5</x:v>
      </x:c>
      <x:c r="E56" s="8" t="n">
        <x:v>77.85</x:v>
      </x:c>
      <x:c r="F56" s="8" t="n">
        <x:f>D56*E56</x:f>
        <x:v>389.25</x:v>
      </x:c>
      <x:c r="G56" t="str">
        <x:v>Approved</x:v>
      </x:c>
      <x:c r="H56" t="str">
        <x:v>Quality</x:v>
      </x:c>
      <x:c r="I56" s="10" t="n">
        <x:v>46078</x:v>
      </x:c>
      <x:c r="J56" t="n">
        <x:f>F56-ROUND(F56*0.97,2)</x:f>
        <x:v>11.680000000000007</x:v>
      </x:c>
    </x:row>
    <x:row r="57">
      <x:c r="A57" t="n">
        <x:v>56</x:v>
      </x:c>
      <x:c r="B57" t="str">
        <x:v>PN-03-00056</x:v>
      </x:c>
      <x:c r="C57" t="str">
        <x:v>Automation component 56 / 零件 56</x:v>
      </x:c>
      <x:c r="D57" s="8" t="n">
        <x:v>6</x:v>
      </x:c>
      <x:c r="E57" s="8" t="n">
        <x:v>79.22</x:v>
      </x:c>
      <x:c r="F57" s="8" t="n">
        <x:f>D57*E57</x:f>
        <x:v>475.32</x:v>
      </x:c>
      <x:c r="G57" t="str">
        <x:v>Hold</x:v>
      </x:c>
      <x:c r="H57" t="str">
        <x:v>Production</x:v>
      </x:c>
      <x:c r="I57" s="10" t="n">
        <x:v>46079</x:v>
      </x:c>
      <x:c r="J57" t="n">
        <x:f>F57-ROUND(F57*0.97,2)</x:f>
        <x:v>14.259999999999991</x:v>
      </x:c>
    </x:row>
    <x:row r="58">
      <x:c r="A58" t="n">
        <x:v>57</x:v>
      </x:c>
      <x:c r="B58" t="str">
        <x:v>PN-03-00057</x:v>
      </x:c>
      <x:c r="C58" t="str">
        <x:v>Automation component 57 / 零件 57</x:v>
      </x:c>
      <x:c r="D58" s="8" t="n">
        <x:v>7</x:v>
      </x:c>
      <x:c r="E58" s="8" t="n">
        <x:v>80.59</x:v>
      </x:c>
      <x:c r="F58" s="8" t="n">
        <x:f>D58*E58</x:f>
        <x:v>564.13</x:v>
      </x:c>
      <x:c r="G58" t="str">
        <x:v>Open</x:v>
      </x:c>
      <x:c r="H58" t="str">
        <x:v>Engineering</x:v>
      </x:c>
      <x:c r="I58" s="10" t="n">
        <x:v>46080</x:v>
      </x:c>
      <x:c r="J58" t="n">
        <x:f>F58-ROUND(F58*0.97,2)</x:f>
        <x:v>16.91999999999996</x:v>
      </x:c>
    </x:row>
    <x:row r="59">
      <x:c r="A59" t="n">
        <x:v>58</x:v>
      </x:c>
      <x:c r="B59" t="str">
        <x:v>PN-03-00058</x:v>
      </x:c>
      <x:c r="C59" t="str">
        <x:v>Automation component 58 / 零件 58</x:v>
      </x:c>
      <x:c r="D59" s="8" t="n">
        <x:v>8</x:v>
      </x:c>
      <x:c r="E59" s="8" t="n">
        <x:v>81.96</x:v>
      </x:c>
      <x:c r="F59" s="8" t="n">
        <x:f>D59*E59</x:f>
        <x:v>655.68</x:v>
      </x:c>
      <x:c r="G59" t="str">
        <x:v>Approved</x:v>
      </x:c>
      <x:c r="H59" t="str">
        <x:v>Quality</x:v>
      </x:c>
      <x:c r="I59" s="10" t="n">
        <x:v>46081</x:v>
      </x:c>
      <x:c r="J59" t="n">
        <x:f>F59-ROUND(F59*0.97,2)</x:f>
        <x:v>19.66999999999996</x:v>
      </x:c>
    </x:row>
    <x:row r="60">
      <x:c r="A60" t="n">
        <x:v>59</x:v>
      </x:c>
      <x:c r="B60" t="str">
        <x:v>PN-03-00059</x:v>
      </x:c>
      <x:c r="C60" t="str">
        <x:v>Automation component 59 / 零件 59</x:v>
      </x:c>
      <x:c r="D60" s="8" t="n">
        <x:v>9</x:v>
      </x:c>
      <x:c r="E60" s="8" t="n">
        <x:v>83.33</x:v>
      </x:c>
      <x:c r="F60" s="8" t="n">
        <x:f>D60*E60</x:f>
        <x:v>749.97</x:v>
      </x:c>
      <x:c r="G60" t="str">
        <x:v>Hold</x:v>
      </x:c>
      <x:c r="H60" t="str">
        <x:v>Production</x:v>
      </x:c>
      <x:c r="I60" s="10" t="n">
        <x:v>46082</x:v>
      </x:c>
      <x:c r="J60" t="n">
        <x:f>F60-ROUND(F60*0.97,2)</x:f>
        <x:v>22.5</x:v>
      </x:c>
    </x:row>
    <x:row r="61">
      <x:c r="A61" t="n">
        <x:v>60</x:v>
      </x:c>
      <x:c r="B61" t="str">
        <x:v>PN-03-00060</x:v>
      </x:c>
      <x:c r="C61" t="str">
        <x:v>Automation component 60 / 零件 60</x:v>
      </x:c>
      <x:c r="D61" s="8" t="n">
        <x:v>10</x:v>
      </x:c>
      <x:c r="E61" s="8" t="n">
        <x:v>84.7</x:v>
      </x:c>
      <x:c r="F61" s="8" t="n">
        <x:f>D61*E61</x:f>
        <x:v>847</x:v>
      </x:c>
      <x:c r="G61" t="str">
        <x:v>Open</x:v>
      </x:c>
      <x:c r="H61" t="str">
        <x:v>Engineering</x:v>
      </x:c>
      <x:c r="I61" s="10" t="n">
        <x:v>46083</x:v>
      </x:c>
      <x:c r="J61" t="n">
        <x:f>F61-ROUND(F61*0.97,2)</x:f>
        <x:v>25.409999999999968</x:v>
      </x:c>
    </x:row>
    <x:row r="62">
      <x:c r="A62" t="n">
        <x:v>61</x:v>
      </x:c>
      <x:c r="B62" t="str">
        <x:v>PN-03-00061</x:v>
      </x:c>
      <x:c r="C62" t="str">
        <x:v>Automation component 61 / 零件 61</x:v>
      </x:c>
      <x:c r="D62" s="8" t="n">
        <x:v>11</x:v>
      </x:c>
      <x:c r="E62" s="8" t="n">
        <x:v>86.07</x:v>
      </x:c>
      <x:c r="F62" s="8" t="n">
        <x:f>D62*E62</x:f>
        <x:v>946.77</x:v>
      </x:c>
      <x:c r="G62" t="str">
        <x:v>Approved</x:v>
      </x:c>
      <x:c r="H62" t="str">
        <x:v>Quality</x:v>
      </x:c>
      <x:c r="I62" s="10" t="n">
        <x:v>46084</x:v>
      </x:c>
      <x:c r="J62" t="n">
        <x:f>F62-ROUND(F62*0.97,2)</x:f>
        <x:v>28.399999999999977</x:v>
      </x:c>
    </x:row>
    <x:row r="63">
      <x:c r="A63" t="n">
        <x:v>62</x:v>
      </x:c>
      <x:c r="B63" t="str">
        <x:v>PN-03-00062</x:v>
      </x:c>
      <x:c r="C63" t="str">
        <x:v>Automation component 62 / 零件 62</x:v>
      </x:c>
      <x:c r="D63" s="8" t="n">
        <x:v>12</x:v>
      </x:c>
      <x:c r="E63" s="8" t="n">
        <x:v>87.44</x:v>
      </x:c>
      <x:c r="F63" s="8" t="n">
        <x:f>D63*E63</x:f>
        <x:v>1049.28</x:v>
      </x:c>
      <x:c r="G63" t="str">
        <x:v>Hold</x:v>
      </x:c>
      <x:c r="H63" t="str">
        <x:v>Production</x:v>
      </x:c>
      <x:c r="I63" s="10" t="n">
        <x:v>46085</x:v>
      </x:c>
      <x:c r="J63" t="n">
        <x:f>F63-ROUND(F63*0.97,2)</x:f>
        <x:v>31.480000000000018</x:v>
      </x:c>
    </x:row>
    <x:row r="64">
      <x:c r="A64" t="n">
        <x:v>63</x:v>
      </x:c>
      <x:c r="B64" t="str">
        <x:v>PN-03-00063</x:v>
      </x:c>
      <x:c r="C64" t="str">
        <x:v>Automation component 63 / 零件 63</x:v>
      </x:c>
      <x:c r="D64" s="8" t="n">
        <x:v>13</x:v>
      </x:c>
      <x:c r="E64" s="8" t="n">
        <x:v>88.81</x:v>
      </x:c>
      <x:c r="F64" s="8" t="n">
        <x:f>D64*E64</x:f>
        <x:v>1154.53</x:v>
      </x:c>
      <x:c r="G64" t="str">
        <x:v>Open</x:v>
      </x:c>
      <x:c r="H64" t="str">
        <x:v>Engineering</x:v>
      </x:c>
      <x:c r="I64" s="10" t="n">
        <x:v>46086</x:v>
      </x:c>
      <x:c r="J64" t="n">
        <x:f>F64-ROUND(F64*0.97,2)</x:f>
        <x:v>34.63999999999987</x:v>
      </x:c>
    </x:row>
    <x:row r="65">
      <x:c r="A65" t="n">
        <x:v>64</x:v>
      </x:c>
      <x:c r="B65" t="str">
        <x:v>PN-03-00064</x:v>
      </x:c>
      <x:c r="C65" t="str">
        <x:v>Automation component 64 / 零件 64</x:v>
      </x:c>
      <x:c r="D65" s="8" t="n">
        <x:v>14</x:v>
      </x:c>
      <x:c r="E65" s="8" t="n">
        <x:v>90.18</x:v>
      </x:c>
      <x:c r="F65" s="8" t="n">
        <x:f>D65*E65</x:f>
        <x:v>1262.52</x:v>
      </x:c>
      <x:c r="G65" t="str">
        <x:v>Approved</x:v>
      </x:c>
      <x:c r="H65" t="str">
        <x:v>Quality</x:v>
      </x:c>
      <x:c r="I65" s="10" t="n">
        <x:v>46087</x:v>
      </x:c>
      <x:c r="J65" t="n">
        <x:f>F65-ROUND(F65*0.97,2)</x:f>
        <x:v>37.87999999999988</x:v>
      </x:c>
    </x:row>
    <x:row r="66">
      <x:c r="A66" t="n">
        <x:v>65</x:v>
      </x:c>
      <x:c r="B66" t="str">
        <x:v>PN-03-00065</x:v>
      </x:c>
      <x:c r="C66" t="str">
        <x:v>Automation component 65 / 零件 65</x:v>
      </x:c>
      <x:c r="D66" s="8" t="n">
        <x:v>15</x:v>
      </x:c>
      <x:c r="E66" s="8" t="n">
        <x:v>91.55</x:v>
      </x:c>
      <x:c r="F66" s="8" t="n">
        <x:f>D66*E66</x:f>
        <x:v>1373.25</x:v>
      </x:c>
      <x:c r="G66" t="str">
        <x:v>Hold</x:v>
      </x:c>
      <x:c r="H66" t="str">
        <x:v>Production</x:v>
      </x:c>
      <x:c r="I66" s="10" t="n">
        <x:v>46088</x:v>
      </x:c>
      <x:c r="J66" t="n">
        <x:f>F66-ROUND(F66*0.97,2)</x:f>
        <x:v>41.200000000000045</x:v>
      </x:c>
    </x:row>
    <x:row r="67">
      <x:c r="A67" t="n">
        <x:v>66</x:v>
      </x:c>
      <x:c r="B67" t="str">
        <x:v>PN-03-00066</x:v>
      </x:c>
      <x:c r="C67" t="str">
        <x:v>Automation component 66 / 零件 66</x:v>
      </x:c>
      <x:c r="D67" s="8" t="n">
        <x:v>16</x:v>
      </x:c>
      <x:c r="E67" s="8" t="n">
        <x:v>92.92</x:v>
      </x:c>
      <x:c r="F67" s="8" t="n">
        <x:f>D67*E67</x:f>
        <x:v>1486.72</x:v>
      </x:c>
      <x:c r="G67" t="str">
        <x:v>Open</x:v>
      </x:c>
      <x:c r="H67" t="str">
        <x:v>Engineering</x:v>
      </x:c>
      <x:c r="I67" s="10" t="n">
        <x:v>46089</x:v>
      </x:c>
      <x:c r="J67" t="n">
        <x:f>F67-ROUND(F67*0.97,2)</x:f>
        <x:v>44.600000000000136</x:v>
      </x:c>
    </x:row>
    <x:row r="68">
      <x:c r="A68" t="n">
        <x:v>67</x:v>
      </x:c>
      <x:c r="B68" t="str">
        <x:v>PN-03-00067</x:v>
      </x:c>
      <x:c r="C68" t="str">
        <x:v>Automation component 67 / 零件 67</x:v>
      </x:c>
      <x:c r="D68" s="8" t="n">
        <x:v>17</x:v>
      </x:c>
      <x:c r="E68" s="8" t="n">
        <x:v>94.29</x:v>
      </x:c>
      <x:c r="F68" s="8" t="n">
        <x:f>D68*E68</x:f>
        <x:v>1602.93</x:v>
      </x:c>
      <x:c r="G68" t="str">
        <x:v>Approved</x:v>
      </x:c>
      <x:c r="H68" t="str">
        <x:v>Quality</x:v>
      </x:c>
      <x:c r="I68" s="10" t="n">
        <x:v>46090</x:v>
      </x:c>
      <x:c r="J68" t="n">
        <x:f>F68-ROUND(F68*0.97,2)</x:f>
        <x:v>48.090000000000146</x:v>
      </x:c>
    </x:row>
    <x:row r="69">
      <x:c r="A69" t="n">
        <x:v>68</x:v>
      </x:c>
      <x:c r="B69" t="str">
        <x:v>PN-03-00068</x:v>
      </x:c>
      <x:c r="C69" t="str">
        <x:v>Automation component 68 / 零件 68</x:v>
      </x:c>
      <x:c r="D69" s="8" t="n">
        <x:v>1</x:v>
      </x:c>
      <x:c r="E69" s="8" t="n">
        <x:v>95.66</x:v>
      </x:c>
      <x:c r="F69" s="8" t="n">
        <x:f>D69*E69</x:f>
        <x:v>95.66</x:v>
      </x:c>
      <x:c r="G69" t="str">
        <x:v>Hold</x:v>
      </x:c>
      <x:c r="H69" t="str">
        <x:v>Production</x:v>
      </x:c>
      <x:c r="I69" s="10" t="n">
        <x:v>46091</x:v>
      </x:c>
      <x:c r="J69" t="n">
        <x:f>F69-ROUND(F69*0.97,2)</x:f>
        <x:v>2.8699999999999903</x:v>
      </x:c>
    </x:row>
    <x:row r="70">
      <x:c r="A70" t="n">
        <x:v>69</x:v>
      </x:c>
      <x:c r="B70" t="str">
        <x:v>PN-03-00069</x:v>
      </x:c>
      <x:c r="C70" t="str">
        <x:v>Automation component 69 / 零件 69</x:v>
      </x:c>
      <x:c r="D70" s="8" t="n">
        <x:v>2</x:v>
      </x:c>
      <x:c r="E70" s="8" t="n">
        <x:v>97.03</x:v>
      </x:c>
      <x:c r="F70" s="8" t="n">
        <x:f>D70*E70</x:f>
        <x:v>194.06</x:v>
      </x:c>
      <x:c r="G70" t="str">
        <x:v>Open</x:v>
      </x:c>
      <x:c r="H70" t="str">
        <x:v>Engineering</x:v>
      </x:c>
      <x:c r="I70" s="10" t="n">
        <x:v>46092</x:v>
      </x:c>
      <x:c r="J70" t="n">
        <x:f>F70-ROUND(F70*0.97,2)</x:f>
        <x:v>5.819999999999993</x:v>
      </x:c>
    </x:row>
    <x:row r="71">
      <x:c r="A71" t="n">
        <x:v>70</x:v>
      </x:c>
      <x:c r="B71" t="str">
        <x:v>PN-03-00070</x:v>
      </x:c>
      <x:c r="C71" t="str">
        <x:v>Automation component 70 / 零件 70</x:v>
      </x:c>
      <x:c r="D71" s="8" t="n">
        <x:v>3</x:v>
      </x:c>
      <x:c r="E71" s="8" t="n">
        <x:v>98.4</x:v>
      </x:c>
      <x:c r="F71" s="8" t="n">
        <x:f>D71*E71</x:f>
        <x:v>295.20000000000005</x:v>
      </x:c>
      <x:c r="G71" t="str">
        <x:v>Approved</x:v>
      </x:c>
      <x:c r="H71" t="str">
        <x:v>Quality</x:v>
      </x:c>
      <x:c r="I71" s="10" t="n">
        <x:v>46093</x:v>
      </x:c>
      <x:c r="J71" t="n">
        <x:f>F71-ROUND(F71*0.97,2)</x:f>
        <x:v>8.86000000000007</x:v>
      </x:c>
    </x:row>
    <x:row r="72">
      <x:c r="A72" t="n">
        <x:v>71</x:v>
      </x:c>
      <x:c r="B72" t="str">
        <x:v>PN-03-00071</x:v>
      </x:c>
      <x:c r="C72" t="str">
        <x:v>Automation component 71 / 零件 71</x:v>
      </x:c>
      <x:c r="D72" s="8" t="n">
        <x:v>4</x:v>
      </x:c>
      <x:c r="E72" s="8" t="n">
        <x:v>99.77</x:v>
      </x:c>
      <x:c r="F72" s="8" t="n">
        <x:f>D72*E72</x:f>
        <x:v>399.08</x:v>
      </x:c>
      <x:c r="G72" t="str">
        <x:v>Hold</x:v>
      </x:c>
      <x:c r="H72" t="str">
        <x:v>Production</x:v>
      </x:c>
      <x:c r="I72" s="10" t="n">
        <x:v>46094</x:v>
      </x:c>
      <x:c r="J72" t="n">
        <x:f>F72-ROUND(F72*0.97,2)</x:f>
        <x:v>11.96999999999997</x:v>
      </x:c>
    </x:row>
    <x:row r="73">
      <x:c r="A73" t="n">
        <x:v>72</x:v>
      </x:c>
      <x:c r="B73" t="str">
        <x:v>PN-03-00072</x:v>
      </x:c>
      <x:c r="C73" t="str">
        <x:v>Automation component 72 / 零件 72</x:v>
      </x:c>
      <x:c r="D73" s="8" t="n">
        <x:v>5</x:v>
      </x:c>
      <x:c r="E73" s="8" t="n">
        <x:v>101.14</x:v>
      </x:c>
      <x:c r="F73" s="8" t="n">
        <x:f>D73*E73</x:f>
        <x:v>505.7</x:v>
      </x:c>
      <x:c r="G73" t="str">
        <x:v>Open</x:v>
      </x:c>
      <x:c r="H73" t="str">
        <x:v>Engineering</x:v>
      </x:c>
      <x:c r="I73" s="10" t="n">
        <x:v>46095</x:v>
      </x:c>
      <x:c r="J73" t="n">
        <x:f>F73-ROUND(F73*0.97,2)</x:f>
        <x:v>15.170000000000016</x:v>
      </x:c>
    </x:row>
    <x:row r="74">
      <x:c r="A74" t="n">
        <x:v>73</x:v>
      </x:c>
      <x:c r="B74" t="str">
        <x:v>PN-03-00073</x:v>
      </x:c>
      <x:c r="C74" t="str">
        <x:v>Automation component 73 / 零件 73</x:v>
      </x:c>
      <x:c r="D74" s="8" t="n">
        <x:v>6</x:v>
      </x:c>
      <x:c r="E74" s="8" t="n">
        <x:v>102.51</x:v>
      </x:c>
      <x:c r="F74" s="8" t="n">
        <x:f>D74*E74</x:f>
        <x:v>615.0600000000001</x:v>
      </x:c>
      <x:c r="G74" t="str">
        <x:v>Approved</x:v>
      </x:c>
      <x:c r="H74" t="str">
        <x:v>Quality</x:v>
      </x:c>
      <x:c r="I74" s="10" t="n">
        <x:v>46096</x:v>
      </x:c>
      <x:c r="J74" t="n">
        <x:f>F74-ROUND(F74*0.97,2)</x:f>
        <x:v>18.450000000000045</x:v>
      </x:c>
    </x:row>
    <x:row r="75">
      <x:c r="A75" t="n">
        <x:v>74</x:v>
      </x:c>
      <x:c r="B75" t="str">
        <x:v>PN-03-00074</x:v>
      </x:c>
      <x:c r="C75" t="str">
        <x:v>Automation component 74 / 零件 74</x:v>
      </x:c>
      <x:c r="D75" s="8" t="n">
        <x:v>7</x:v>
      </x:c>
      <x:c r="E75" s="8" t="n">
        <x:v>103.88</x:v>
      </x:c>
      <x:c r="F75" s="8" t="n">
        <x:f>D75*E75</x:f>
        <x:v>727.16</x:v>
      </x:c>
      <x:c r="G75" t="str">
        <x:v>Hold</x:v>
      </x:c>
      <x:c r="H75" t="str">
        <x:v>Production</x:v>
      </x:c>
      <x:c r="I75" s="10" t="n">
        <x:v>46097</x:v>
      </x:c>
      <x:c r="J75" t="n">
        <x:f>F75-ROUND(F75*0.97,2)</x:f>
        <x:v>21.809999999999945</x:v>
      </x:c>
    </x:row>
    <x:row r="76">
      <x:c r="A76" t="n">
        <x:v>75</x:v>
      </x:c>
      <x:c r="B76" t="str">
        <x:v>PN-03-00075</x:v>
      </x:c>
      <x:c r="C76" t="str">
        <x:v>Automation component 75 / 零件 75</x:v>
      </x:c>
      <x:c r="D76" s="8" t="n">
        <x:v>8</x:v>
      </x:c>
      <x:c r="E76" s="8" t="n">
        <x:v>105.25</x:v>
      </x:c>
      <x:c r="F76" s="8" t="n">
        <x:f>D76*E76</x:f>
        <x:v>842</x:v>
      </x:c>
      <x:c r="G76" t="str">
        <x:v>Open</x:v>
      </x:c>
      <x:c r="H76" t="str">
        <x:v>Engineering</x:v>
      </x:c>
      <x:c r="I76" s="10" t="n">
        <x:v>46098</x:v>
      </x:c>
      <x:c r="J76" t="n">
        <x:f>F76-ROUND(F76*0.97,2)</x:f>
        <x:v>25.25999999999999</x:v>
      </x:c>
    </x:row>
    <x:row r="77">
      <x:c r="A77" t="n">
        <x:v>76</x:v>
      </x:c>
      <x:c r="B77" t="str">
        <x:v>PN-03-00076</x:v>
      </x:c>
      <x:c r="C77" t="str">
        <x:v>Automation component 76 / 零件 76</x:v>
      </x:c>
      <x:c r="D77" s="8" t="n">
        <x:v>9</x:v>
      </x:c>
      <x:c r="E77" s="8" t="n">
        <x:v>106.62</x:v>
      </x:c>
      <x:c r="F77" s="8" t="n">
        <x:f>D77*E77</x:f>
        <x:v>959.58</x:v>
      </x:c>
      <x:c r="G77" t="str">
        <x:v>Approved</x:v>
      </x:c>
      <x:c r="H77" t="str">
        <x:v>Quality</x:v>
      </x:c>
      <x:c r="I77" s="10" t="n">
        <x:v>46099</x:v>
      </x:c>
      <x:c r="J77" t="n">
        <x:f>F77-ROUND(F77*0.97,2)</x:f>
        <x:v>28.790000000000077</x:v>
      </x:c>
    </x:row>
    <x:row r="78">
      <x:c r="A78" t="n">
        <x:v>77</x:v>
      </x:c>
      <x:c r="B78" t="str">
        <x:v>PN-03-00077</x:v>
      </x:c>
      <x:c r="C78" t="str">
        <x:v>Automation component 77 / 零件 77</x:v>
      </x:c>
      <x:c r="D78" s="8" t="n">
        <x:v>10</x:v>
      </x:c>
      <x:c r="E78" s="8" t="n">
        <x:v>107.99</x:v>
      </x:c>
      <x:c r="F78" s="8" t="n">
        <x:f>D78*E78</x:f>
        <x:v>1079.8999999999999</x:v>
      </x:c>
      <x:c r="G78" t="str">
        <x:v>Hold</x:v>
      </x:c>
      <x:c r="H78" t="str">
        <x:v>Production</x:v>
      </x:c>
      <x:c r="I78" s="10" t="n">
        <x:v>46100</x:v>
      </x:c>
      <x:c r="J78" t="n">
        <x:f>F78-ROUND(F78*0.97,2)</x:f>
        <x:v>32.399999999999864</x:v>
      </x:c>
    </x:row>
    <x:row r="79">
      <x:c r="A79" t="n">
        <x:v>78</x:v>
      </x:c>
      <x:c r="B79" t="str">
        <x:v>PN-03-00078</x:v>
      </x:c>
      <x:c r="C79" t="str">
        <x:v>Automation component 78 / 零件 78</x:v>
      </x:c>
      <x:c r="D79" s="8" t="n">
        <x:v>11</x:v>
      </x:c>
      <x:c r="E79" s="8" t="n">
        <x:v>109.36</x:v>
      </x:c>
      <x:c r="F79" s="8" t="n">
        <x:f>D79*E79</x:f>
        <x:v>1202.96</x:v>
      </x:c>
      <x:c r="G79" t="str">
        <x:v>Open</x:v>
      </x:c>
      <x:c r="H79" t="str">
        <x:v>Engineering</x:v>
      </x:c>
      <x:c r="I79" s="10" t="n">
        <x:v>46101</x:v>
      </x:c>
      <x:c r="J79" t="n">
        <x:f>F79-ROUND(F79*0.97,2)</x:f>
        <x:v>36.090000000000146</x:v>
      </x:c>
    </x:row>
    <x:row r="80">
      <x:c r="A80" t="n">
        <x:v>79</x:v>
      </x:c>
      <x:c r="B80" t="str">
        <x:v>PN-03-00079</x:v>
      </x:c>
      <x:c r="C80" t="str">
        <x:v>Automation component 79 / 零件 79</x:v>
      </x:c>
      <x:c r="D80" s="8" t="n">
        <x:v>12</x:v>
      </x:c>
      <x:c r="E80" s="8" t="n">
        <x:v>110.73</x:v>
      </x:c>
      <x:c r="F80" s="8" t="n">
        <x:f>D80*E80</x:f>
        <x:v>1328.76</x:v>
      </x:c>
      <x:c r="G80" t="str">
        <x:v>Approved</x:v>
      </x:c>
      <x:c r="H80" t="str">
        <x:v>Quality</x:v>
      </x:c>
      <x:c r="I80" s="10" t="n">
        <x:v>46102</x:v>
      </x:c>
      <x:c r="J80" t="n">
        <x:f>F80-ROUND(F80*0.97,2)</x:f>
        <x:v>39.8599999999999</x:v>
      </x:c>
    </x:row>
    <x:row r="81">
      <x:c r="A81" t="n">
        <x:v>80</x:v>
      </x:c>
      <x:c r="B81" t="str">
        <x:v>PN-03-00080</x:v>
      </x:c>
      <x:c r="C81" t="str">
        <x:v>Automation component 80 / 零件 80</x:v>
      </x:c>
      <x:c r="D81" s="8" t="n">
        <x:v>13</x:v>
      </x:c>
      <x:c r="E81" s="8" t="n">
        <x:v>112.1</x:v>
      </x:c>
      <x:c r="F81" s="8" t="n">
        <x:f>D81*E81</x:f>
        <x:v>1457.3</x:v>
      </x:c>
      <x:c r="G81" t="str">
        <x:v>Hold</x:v>
      </x:c>
      <x:c r="H81" t="str">
        <x:v>Production</x:v>
      </x:c>
      <x:c r="I81" s="10" t="n">
        <x:v>46103</x:v>
      </x:c>
      <x:c r="J81" t="n">
        <x:f>F81-ROUND(F81*0.97,2)</x:f>
        <x:v>43.72000000000003</x:v>
      </x:c>
    </x:row>
    <x:row r="82">
      <x:c r="A82" t="n">
        <x:v>81</x:v>
      </x:c>
      <x:c r="B82" t="str">
        <x:v>PN-03-00081</x:v>
      </x:c>
      <x:c r="C82" t="str">
        <x:v>Automation component 81 / 零件 81</x:v>
      </x:c>
      <x:c r="D82" s="8" t="n">
        <x:v>14</x:v>
      </x:c>
      <x:c r="E82" s="8" t="n">
        <x:v>113.47</x:v>
      </x:c>
      <x:c r="F82" s="8" t="n">
        <x:f>D82*E82</x:f>
        <x:v>1588.58</x:v>
      </x:c>
      <x:c r="G82" t="str">
        <x:v>Open</x:v>
      </x:c>
      <x:c r="H82" t="str">
        <x:v>Engineering</x:v>
      </x:c>
      <x:c r="I82" s="10" t="n">
        <x:v>46104</x:v>
      </x:c>
      <x:c r="J82" t="n">
        <x:f>F82-ROUND(F82*0.97,2)</x:f>
        <x:v>47.659999999999854</x:v>
      </x:c>
    </x:row>
    <x:row r="83">
      <x:c r="A83" t="n">
        <x:v>82</x:v>
      </x:c>
      <x:c r="B83" t="str">
        <x:v>PN-03-00082</x:v>
      </x:c>
      <x:c r="C83" t="str">
        <x:v>Automation component 82 / 零件 82</x:v>
      </x:c>
      <x:c r="D83" s="8" t="n">
        <x:v>15</x:v>
      </x:c>
      <x:c r="E83" s="8" t="n">
        <x:v>114.84</x:v>
      </x:c>
      <x:c r="F83" s="8" t="n">
        <x:f>D83*E83</x:f>
        <x:v>1722.6000000000001</x:v>
      </x:c>
      <x:c r="G83" t="str">
        <x:v>Approved</x:v>
      </x:c>
      <x:c r="H83" t="str">
        <x:v>Quality</x:v>
      </x:c>
      <x:c r="I83" s="10" t="n">
        <x:v>46105</x:v>
      </x:c>
      <x:c r="J83" t="n">
        <x:f>F83-ROUND(F83*0.97,2)</x:f>
        <x:v>51.680000000000064</x:v>
      </x:c>
    </x:row>
    <x:row r="84">
      <x:c r="A84" t="n">
        <x:v>83</x:v>
      </x:c>
      <x:c r="B84" t="str">
        <x:v>PN-03-00083</x:v>
      </x:c>
      <x:c r="C84" t="str">
        <x:v>Automation component 83 / 零件 83</x:v>
      </x:c>
      <x:c r="D84" s="8" t="n">
        <x:v>16</x:v>
      </x:c>
      <x:c r="E84" s="8" t="n">
        <x:v>2.5</x:v>
      </x:c>
      <x:c r="F84" s="8" t="n">
        <x:f>D84*E84</x:f>
        <x:v>40</x:v>
      </x:c>
      <x:c r="G84" t="str">
        <x:v>Hold</x:v>
      </x:c>
      <x:c r="H84" t="str">
        <x:v>Production</x:v>
      </x:c>
      <x:c r="I84" s="10" t="n">
        <x:v>46106</x:v>
      </x:c>
      <x:c r="J84" t="n">
        <x:f>F84-ROUND(F84*0.97,2)</x:f>
        <x:v>1.2000000000000028</x:v>
      </x:c>
    </x:row>
    <x:row r="85">
      <x:c r="A85" t="n">
        <x:v>84</x:v>
      </x:c>
      <x:c r="B85" t="str">
        <x:v>PN-03-00084</x:v>
      </x:c>
      <x:c r="C85" t="str">
        <x:v>Automation component 84 / 零件 84</x:v>
      </x:c>
      <x:c r="D85" s="8" t="n">
        <x:v>17</x:v>
      </x:c>
      <x:c r="E85" s="8" t="n">
        <x:v>3.87</x:v>
      </x:c>
      <x:c r="F85" s="8" t="n">
        <x:f>D85*E85</x:f>
        <x:v>65.79</x:v>
      </x:c>
      <x:c r="G85" t="str">
        <x:v>Open</x:v>
      </x:c>
      <x:c r="H85" t="str">
        <x:v>Engineering</x:v>
      </x:c>
      <x:c r="I85" s="10" t="n">
        <x:v>46107</x:v>
      </x:c>
      <x:c r="J85" t="n">
        <x:f>F85-ROUND(F85*0.97,2)</x:f>
        <x:v>1.970000000000006</x:v>
      </x:c>
    </x:row>
    <x:row r="86">
      <x:c r="A86" t="n">
        <x:v>85</x:v>
      </x:c>
      <x:c r="B86" t="str">
        <x:v>PN-03-00085</x:v>
      </x:c>
      <x:c r="C86" t="str">
        <x:v>Automation component 85 / 零件 85</x:v>
      </x:c>
      <x:c r="D86" s="8" t="n">
        <x:v>1</x:v>
      </x:c>
      <x:c r="E86" s="8" t="n">
        <x:v>5.24</x:v>
      </x:c>
      <x:c r="F86" s="8" t="n">
        <x:f>D86*E86</x:f>
        <x:v>5.24</x:v>
      </x:c>
      <x:c r="G86" t="str">
        <x:v>Approved</x:v>
      </x:c>
      <x:c r="H86" t="str">
        <x:v>Quality</x:v>
      </x:c>
      <x:c r="I86" s="10" t="n">
        <x:v>46108</x:v>
      </x:c>
      <x:c r="J86" t="n">
        <x:f>F86-ROUND(F86*0.97,2)</x:f>
        <x:v>0.16000000000000014</x:v>
      </x:c>
    </x:row>
    <x:row r="87">
      <x:c r="A87" t="n">
        <x:v>86</x:v>
      </x:c>
      <x:c r="B87" t="str">
        <x:v>PN-03-00086</x:v>
      </x:c>
      <x:c r="C87" t="str">
        <x:v>Automation component 86 / 零件 86</x:v>
      </x:c>
      <x:c r="D87" s="8" t="n">
        <x:v>2</x:v>
      </x:c>
      <x:c r="E87" s="8" t="n">
        <x:v>6.61</x:v>
      </x:c>
      <x:c r="F87" s="8" t="n">
        <x:f>D87*E87</x:f>
        <x:v>13.22</x:v>
      </x:c>
      <x:c r="G87" t="str">
        <x:v>Hold</x:v>
      </x:c>
      <x:c r="H87" t="str">
        <x:v>Production</x:v>
      </x:c>
      <x:c r="I87" s="10" t="n">
        <x:v>46109</x:v>
      </x:c>
      <x:c r="J87" t="n">
        <x:f>F87-ROUND(F87*0.97,2)</x:f>
        <x:v>0.40000000000000036</x:v>
      </x:c>
    </x:row>
    <x:row r="88">
      <x:c r="A88" t="n">
        <x:v>87</x:v>
      </x:c>
      <x:c r="B88" t="str">
        <x:v>PN-03-00087</x:v>
      </x:c>
      <x:c r="C88" t="str">
        <x:v>Automation component 87 / 零件 87</x:v>
      </x:c>
      <x:c r="D88" s="8" t="n">
        <x:v>3</x:v>
      </x:c>
      <x:c r="E88" s="8" t="n">
        <x:v>7.98</x:v>
      </x:c>
      <x:c r="F88" s="8" t="n">
        <x:f>D88*E88</x:f>
        <x:v>23.94</x:v>
      </x:c>
      <x:c r="G88" t="str">
        <x:v>Open</x:v>
      </x:c>
      <x:c r="H88" t="str">
        <x:v>Engineering</x:v>
      </x:c>
      <x:c r="I88" s="10" t="n">
        <x:v>46110</x:v>
      </x:c>
      <x:c r="J88" t="n">
        <x:f>F88-ROUND(F88*0.97,2)</x:f>
        <x:v>0.7200000000000024</x:v>
      </x:c>
    </x:row>
    <x:row r="89">
      <x:c r="A89" t="n">
        <x:v>88</x:v>
      </x:c>
      <x:c r="B89" t="str">
        <x:v>PN-03-00088</x:v>
      </x:c>
      <x:c r="C89" t="str">
        <x:v>Automation component 88 / 零件 88</x:v>
      </x:c>
      <x:c r="D89" s="8" t="n">
        <x:v>4</x:v>
      </x:c>
      <x:c r="E89" s="8" t="n">
        <x:v>9.35</x:v>
      </x:c>
      <x:c r="F89" s="8" t="n">
        <x:f>D89*E89</x:f>
        <x:v>37.4</x:v>
      </x:c>
      <x:c r="G89" t="str">
        <x:v>Approved</x:v>
      </x:c>
      <x:c r="H89" t="str">
        <x:v>Quality</x:v>
      </x:c>
      <x:c r="I89" s="10" t="n">
        <x:v>46111</x:v>
      </x:c>
      <x:c r="J89" t="n">
        <x:f>F89-ROUND(F89*0.97,2)</x:f>
        <x:v>1.1199999999999974</x:v>
      </x:c>
    </x:row>
    <x:row r="90">
      <x:c r="A90" t="n">
        <x:v>89</x:v>
      </x:c>
      <x:c r="B90" t="str">
        <x:v>PN-03-00089</x:v>
      </x:c>
      <x:c r="C90" t="str">
        <x:v>Automation component 89 / 零件 89</x:v>
      </x:c>
      <x:c r="D90" s="8" t="n">
        <x:v>5</x:v>
      </x:c>
      <x:c r="E90" s="8" t="n">
        <x:v>10.72</x:v>
      </x:c>
      <x:c r="F90" s="8" t="n">
        <x:f>D90*E90</x:f>
        <x:v>53.6</x:v>
      </x:c>
      <x:c r="G90" t="str">
        <x:v>Hold</x:v>
      </x:c>
      <x:c r="H90" t="str">
        <x:v>Production</x:v>
      </x:c>
      <x:c r="I90" s="10" t="n">
        <x:v>46112</x:v>
      </x:c>
      <x:c r="J90" t="n">
        <x:f>F90-ROUND(F90*0.97,2)</x:f>
        <x:v>1.6099999999999994</x:v>
      </x:c>
    </x:row>
    <x:row r="91">
      <x:c r="A91" t="n">
        <x:v>90</x:v>
      </x:c>
      <x:c r="B91" t="str">
        <x:v>PN-03-00090</x:v>
      </x:c>
      <x:c r="C91" t="str">
        <x:v>Automation component 90 / 零件 90</x:v>
      </x:c>
      <x:c r="D91" s="8" t="n">
        <x:v>6</x:v>
      </x:c>
      <x:c r="E91" s="8" t="n">
        <x:v>12.09</x:v>
      </x:c>
      <x:c r="F91" s="8" t="n">
        <x:f>D91*E91</x:f>
        <x:v>72.53999999999999</x:v>
      </x:c>
      <x:c r="G91" t="str">
        <x:v>Open</x:v>
      </x:c>
      <x:c r="H91" t="str">
        <x:v>Engineering</x:v>
      </x:c>
      <x:c r="I91" s="10" t="n">
        <x:v>46113</x:v>
      </x:c>
      <x:c r="J91" t="n">
        <x:f>F91-ROUND(F91*0.97,2)</x:f>
        <x:v>2.1799999999999926</x:v>
      </x:c>
    </x:row>
    <x:row r="92">
      <x:c r="A92" t="n">
        <x:v>91</x:v>
      </x:c>
      <x:c r="B92" t="str">
        <x:v>PN-03-00091</x:v>
      </x:c>
      <x:c r="C92" t="str">
        <x:v>Automation component 91 / 零件 91</x:v>
      </x:c>
      <x:c r="D92" s="8" t="n">
        <x:v>7</x:v>
      </x:c>
      <x:c r="E92" s="8" t="n">
        <x:v>13.46</x:v>
      </x:c>
      <x:c r="F92" s="8" t="n">
        <x:f>D92*E92</x:f>
        <x:v>94.22</x:v>
      </x:c>
      <x:c r="G92" t="str">
        <x:v>Approved</x:v>
      </x:c>
      <x:c r="H92" t="str">
        <x:v>Quality</x:v>
      </x:c>
      <x:c r="I92" s="10" t="n">
        <x:v>46114</x:v>
      </x:c>
      <x:c r="J92" t="n">
        <x:f>F92-ROUND(F92*0.97,2)</x:f>
        <x:v>2.8299999999999983</x:v>
      </x:c>
    </x:row>
    <x:row r="93">
      <x:c r="A93" t="n">
        <x:v>92</x:v>
      </x:c>
      <x:c r="B93" t="str">
        <x:v>PN-03-00092</x:v>
      </x:c>
      <x:c r="C93" t="str">
        <x:v>Automation component 92 / 零件 92</x:v>
      </x:c>
      <x:c r="D93" s="8" t="n">
        <x:v>8</x:v>
      </x:c>
      <x:c r="E93" s="8" t="n">
        <x:v>14.83</x:v>
      </x:c>
      <x:c r="F93" s="8" t="n">
        <x:f>D93*E93</x:f>
        <x:v>118.64</x:v>
      </x:c>
      <x:c r="G93" t="str">
        <x:v>Hold</x:v>
      </x:c>
      <x:c r="H93" t="str">
        <x:v>Production</x:v>
      </x:c>
      <x:c r="I93" s="10" t="n">
        <x:v>46115</x:v>
      </x:c>
      <x:c r="J93" t="n">
        <x:f>F93-ROUND(F93*0.97,2)</x:f>
        <x:v>3.5600000000000023</x:v>
      </x:c>
    </x:row>
    <x:row r="94">
      <x:c r="A94" t="n">
        <x:v>93</x:v>
      </x:c>
      <x:c r="B94" t="str">
        <x:v>PN-03-00093</x:v>
      </x:c>
      <x:c r="C94" t="str">
        <x:v>Automation component 93 / 零件 93</x:v>
      </x:c>
      <x:c r="D94" s="8" t="n">
        <x:v>9</x:v>
      </x:c>
      <x:c r="E94" s="8" t="n">
        <x:v>16.2</x:v>
      </x:c>
      <x:c r="F94" s="8" t="n">
        <x:f>D94*E94</x:f>
        <x:v>145.79999999999998</x:v>
      </x:c>
      <x:c r="G94" t="str">
        <x:v>Open</x:v>
      </x:c>
      <x:c r="H94" t="str">
        <x:v>Engineering</x:v>
      </x:c>
      <x:c r="I94" s="10" t="n">
        <x:v>46116</x:v>
      </x:c>
      <x:c r="J94" t="n">
        <x:f>F94-ROUND(F94*0.97,2)</x:f>
        <x:v>4.369999999999976</x:v>
      </x:c>
    </x:row>
    <x:row r="95">
      <x:c r="A95" t="n">
        <x:v>94</x:v>
      </x:c>
      <x:c r="B95" t="str">
        <x:v>PN-03-00094</x:v>
      </x:c>
      <x:c r="C95" t="str">
        <x:v>Automation component 94 / 零件 94</x:v>
      </x:c>
      <x:c r="D95" s="8" t="n">
        <x:v>10</x:v>
      </x:c>
      <x:c r="E95" s="8" t="n">
        <x:v>17.57</x:v>
      </x:c>
      <x:c r="F95" s="8" t="n">
        <x:f>D95*E95</x:f>
        <x:v>175.7</x:v>
      </x:c>
      <x:c r="G95" t="str">
        <x:v>Approved</x:v>
      </x:c>
      <x:c r="H95" t="str">
        <x:v>Quality</x:v>
      </x:c>
      <x:c r="I95" s="10" t="n">
        <x:v>46117</x:v>
      </x:c>
      <x:c r="J95" t="n">
        <x:f>F95-ROUND(F95*0.97,2)</x:f>
        <x:v>5.269999999999982</x:v>
      </x:c>
    </x:row>
    <x:row r="96">
      <x:c r="A96" t="n">
        <x:v>95</x:v>
      </x:c>
      <x:c r="B96" t="str">
        <x:v>PN-03-00095</x:v>
      </x:c>
      <x:c r="C96" t="str">
        <x:v>Automation component 95 / 零件 95</x:v>
      </x:c>
      <x:c r="D96" s="8" t="n">
        <x:v>11</x:v>
      </x:c>
      <x:c r="E96" s="8" t="n">
        <x:v>18.94</x:v>
      </x:c>
      <x:c r="F96" s="8" t="n">
        <x:f>D96*E96</x:f>
        <x:v>208.34</x:v>
      </x:c>
      <x:c r="G96" t="str">
        <x:v>Hold</x:v>
      </x:c>
      <x:c r="H96" t="str">
        <x:v>Production</x:v>
      </x:c>
      <x:c r="I96" s="10" t="n">
        <x:v>46118</x:v>
      </x:c>
      <x:c r="J96" t="n">
        <x:f>F96-ROUND(F96*0.97,2)</x:f>
        <x:v>6.25</x:v>
      </x:c>
    </x:row>
    <x:row r="97">
      <x:c r="A97" t="n">
        <x:v>96</x:v>
      </x:c>
      <x:c r="B97" t="str">
        <x:v>PN-03-00096</x:v>
      </x:c>
      <x:c r="C97" t="str">
        <x:v>Automation component 96 / 零件 96</x:v>
      </x:c>
      <x:c r="D97" s="8" t="n">
        <x:v>12</x:v>
      </x:c>
      <x:c r="E97" s="8" t="n">
        <x:v>20.31</x:v>
      </x:c>
      <x:c r="F97" s="8" t="n">
        <x:f>D97*E97</x:f>
        <x:v>243.71999999999997</x:v>
      </x:c>
      <x:c r="G97" t="str">
        <x:v>Open</x:v>
      </x:c>
      <x:c r="H97" t="str">
        <x:v>Engineering</x:v>
      </x:c>
      <x:c r="I97" s="10" t="n">
        <x:v>46119</x:v>
      </x:c>
      <x:c r="J97" t="n">
        <x:f>F97-ROUND(F97*0.97,2)</x:f>
        <x:v>7.309999999999974</x:v>
      </x:c>
    </x:row>
    <x:row r="98">
      <x:c r="A98" t="n">
        <x:v>97</x:v>
      </x:c>
      <x:c r="B98" t="str">
        <x:v>PN-03-00097</x:v>
      </x:c>
      <x:c r="C98" t="str">
        <x:v>Automation component 97 / 零件 97</x:v>
      </x:c>
      <x:c r="D98" s="8" t="n">
        <x:v>13</x:v>
      </x:c>
      <x:c r="E98" s="8" t="n">
        <x:v>21.68</x:v>
      </x:c>
      <x:c r="F98" s="8" t="n">
        <x:f>D98*E98</x:f>
        <x:v>281.84</x:v>
      </x:c>
      <x:c r="G98" t="str">
        <x:v>Approved</x:v>
      </x:c>
      <x:c r="H98" t="str">
        <x:v>Quality</x:v>
      </x:c>
      <x:c r="I98" s="10" t="n">
        <x:v>46120</x:v>
      </x:c>
      <x:c r="J98" t="n">
        <x:f>F98-ROUND(F98*0.97,2)</x:f>
        <x:v>8.45999999999998</x:v>
      </x:c>
    </x:row>
    <x:row r="99">
      <x:c r="A99" t="n">
        <x:v>98</x:v>
      </x:c>
      <x:c r="B99" t="str">
        <x:v>PN-03-00098</x:v>
      </x:c>
      <x:c r="C99" t="str">
        <x:v>Automation component 98 / 零件 98</x:v>
      </x:c>
      <x:c r="D99" s="8" t="n">
        <x:v>14</x:v>
      </x:c>
      <x:c r="E99" s="8" t="n">
        <x:v>23.05</x:v>
      </x:c>
      <x:c r="F99" s="8" t="n">
        <x:f>D99*E99</x:f>
        <x:v>322.7</x:v>
      </x:c>
      <x:c r="G99" t="str">
        <x:v>Hold</x:v>
      </x:c>
      <x:c r="H99" t="str">
        <x:v>Production</x:v>
      </x:c>
      <x:c r="I99" s="10" t="n">
        <x:v>46121</x:v>
      </x:c>
      <x:c r="J99" t="n">
        <x:f>F99-ROUND(F99*0.97,2)</x:f>
        <x:v>9.680000000000007</x:v>
      </x:c>
    </x:row>
    <x:row r="100">
      <x:c r="A100" t="n">
        <x:v>99</x:v>
      </x:c>
      <x:c r="B100" t="str">
        <x:v>PN-03-00099</x:v>
      </x:c>
      <x:c r="C100" t="str">
        <x:v>Automation component 99 / 零件 99</x:v>
      </x:c>
      <x:c r="D100" s="8" t="n">
        <x:v>15</x:v>
      </x:c>
      <x:c r="E100" s="8" t="n">
        <x:v>24.42</x:v>
      </x:c>
      <x:c r="F100" s="8" t="n">
        <x:f>D100*E100</x:f>
        <x:v>366.3</x:v>
      </x:c>
      <x:c r="G100" t="str">
        <x:v>Open</x:v>
      </x:c>
      <x:c r="H100" t="str">
        <x:v>Engineering</x:v>
      </x:c>
      <x:c r="I100" s="10" t="n">
        <x:v>46122</x:v>
      </x:c>
      <x:c r="J100" t="n">
        <x:f>F100-ROUND(F100*0.97,2)</x:f>
        <x:v>10.990000000000009</x:v>
      </x:c>
    </x:row>
    <x:row r="101">
      <x:c r="A101" t="n">
        <x:v>100</x:v>
      </x:c>
      <x:c r="B101" t="str">
        <x:v>PN-03-00100</x:v>
      </x:c>
      <x:c r="C101" t="str">
        <x:v>Automation component 100 / 零件 100</x:v>
      </x:c>
      <x:c r="D101" s="8" t="n">
        <x:v>16</x:v>
      </x:c>
      <x:c r="E101" s="8" t="n">
        <x:v>25.79</x:v>
      </x:c>
      <x:c r="F101" s="8" t="n">
        <x:f>D101*E101</x:f>
        <x:v>412.64</x:v>
      </x:c>
      <x:c r="G101" t="str">
        <x:v>Approved</x:v>
      </x:c>
      <x:c r="H101" t="str">
        <x:v>Quality</x:v>
      </x:c>
      <x:c r="I101" s="10" t="n">
        <x:v>46123</x:v>
      </x:c>
      <x:c r="J101" t="n">
        <x:f>F101-ROUND(F101*0.97,2)</x:f>
        <x:v>12.379999999999995</x:v>
      </x:c>
    </x:row>
    <x:row r="102">
      <x:c r="A102" t="n">
        <x:v>101</x:v>
      </x:c>
      <x:c r="B102" t="str">
        <x:v>PN-03-00101</x:v>
      </x:c>
      <x:c r="C102" t="str">
        <x:v>Automation component 101 / 零件 101</x:v>
      </x:c>
      <x:c r="D102" s="8" t="n">
        <x:v>17</x:v>
      </x:c>
      <x:c r="E102" s="8" t="n">
        <x:v>27.16</x:v>
      </x:c>
      <x:c r="F102" s="8" t="n">
        <x:f>D102*E102</x:f>
        <x:v>461.72</x:v>
      </x:c>
      <x:c r="G102" t="str">
        <x:v>Hold</x:v>
      </x:c>
      <x:c r="H102" t="str">
        <x:v>Production</x:v>
      </x:c>
      <x:c r="I102" s="10" t="n">
        <x:v>46124</x:v>
      </x:c>
      <x:c r="J102" t="n">
        <x:f>F102-ROUND(F102*0.97,2)</x:f>
        <x:v>13.850000000000023</x:v>
      </x:c>
    </x:row>
    <x:row r="103">
      <x:c r="A103" t="n">
        <x:v>102</x:v>
      </x:c>
      <x:c r="B103" t="str">
        <x:v>PN-03-00102</x:v>
      </x:c>
      <x:c r="C103" t="str">
        <x:v>Automation component 102 / 零件 102</x:v>
      </x:c>
      <x:c r="D103" s="8" t="n">
        <x:v>1</x:v>
      </x:c>
      <x:c r="E103" s="8" t="n">
        <x:v>28.53</x:v>
      </x:c>
      <x:c r="F103" s="8" t="n">
        <x:f>D103*E103</x:f>
        <x:v>28.53</x:v>
      </x:c>
      <x:c r="G103" t="str">
        <x:v>Open</x:v>
      </x:c>
      <x:c r="H103" t="str">
        <x:v>Engineering</x:v>
      </x:c>
      <x:c r="I103" s="10" t="n">
        <x:v>46125</x:v>
      </x:c>
      <x:c r="J103" t="n">
        <x:f>F103-ROUND(F103*0.97,2)</x:f>
        <x:v>0.8599999999999994</x:v>
      </x:c>
    </x:row>
    <x:row r="104">
      <x:c r="A104" t="n">
        <x:v>103</x:v>
      </x:c>
      <x:c r="B104" t="str">
        <x:v>PN-03-00103</x:v>
      </x:c>
      <x:c r="C104" t="str">
        <x:v>Automation component 103 / 零件 103</x:v>
      </x:c>
      <x:c r="D104" s="8" t="n">
        <x:v>2</x:v>
      </x:c>
      <x:c r="E104" s="8" t="n">
        <x:v>29.9</x:v>
      </x:c>
      <x:c r="F104" s="8" t="n">
        <x:f>D104*E104</x:f>
        <x:v>59.8</x:v>
      </x:c>
      <x:c r="G104" t="str">
        <x:v>Approved</x:v>
      </x:c>
      <x:c r="H104" t="str">
        <x:v>Quality</x:v>
      </x:c>
      <x:c r="I104" s="10" t="n">
        <x:v>46126</x:v>
      </x:c>
      <x:c r="J104" t="n">
        <x:f>F104-ROUND(F104*0.97,2)</x:f>
        <x:v>1.7899999999999991</x:v>
      </x:c>
    </x:row>
    <x:row r="105">
      <x:c r="A105" t="n">
        <x:v>104</x:v>
      </x:c>
      <x:c r="B105" t="str">
        <x:v>PN-03-00104</x:v>
      </x:c>
      <x:c r="C105" t="str">
        <x:v>Automation component 104 / 零件 104</x:v>
      </x:c>
      <x:c r="D105" s="8" t="n">
        <x:v>3</x:v>
      </x:c>
      <x:c r="E105" s="8" t="n">
        <x:v>31.27</x:v>
      </x:c>
      <x:c r="F105" s="8" t="n">
        <x:f>D105*E105</x:f>
        <x:v>93.81</x:v>
      </x:c>
      <x:c r="G105" t="str">
        <x:v>Hold</x:v>
      </x:c>
      <x:c r="H105" t="str">
        <x:v>Production</x:v>
      </x:c>
      <x:c r="I105" s="10" t="n">
        <x:v>46127</x:v>
      </x:c>
      <x:c r="J105" t="n">
        <x:f>F105-ROUND(F105*0.97,2)</x:f>
        <x:v>2.8100000000000023</x:v>
      </x:c>
    </x:row>
    <x:row r="106">
      <x:c r="A106" t="n">
        <x:v>105</x:v>
      </x:c>
      <x:c r="B106" t="str">
        <x:v>PN-03-00105</x:v>
      </x:c>
      <x:c r="C106" t="str">
        <x:v>Automation component 105 / 零件 105</x:v>
      </x:c>
      <x:c r="D106" s="8" t="n">
        <x:v>4</x:v>
      </x:c>
      <x:c r="E106" s="8" t="n">
        <x:v>32.64</x:v>
      </x:c>
      <x:c r="F106" s="8" t="n">
        <x:f>D106*E106</x:f>
        <x:v>130.56</x:v>
      </x:c>
      <x:c r="G106" t="str">
        <x:v>Open</x:v>
      </x:c>
      <x:c r="H106" t="str">
        <x:v>Engineering</x:v>
      </x:c>
      <x:c r="I106" s="10" t="n">
        <x:v>46128</x:v>
      </x:c>
      <x:c r="J106" t="n">
        <x:f>F106-ROUND(F106*0.97,2)</x:f>
        <x:v>3.9200000000000017</x:v>
      </x:c>
    </x:row>
    <x:row r="107">
      <x:c r="A107" t="n">
        <x:v>106</x:v>
      </x:c>
      <x:c r="B107" t="str">
        <x:v>PN-03-00106</x:v>
      </x:c>
      <x:c r="C107" t="str">
        <x:v>Automation component 106 / 零件 106</x:v>
      </x:c>
      <x:c r="D107" s="8" t="n">
        <x:v>5</x:v>
      </x:c>
      <x:c r="E107" s="8" t="n">
        <x:v>34.01</x:v>
      </x:c>
      <x:c r="F107" s="8" t="n">
        <x:f>D107*E107</x:f>
        <x:v>170.04999999999998</x:v>
      </x:c>
      <x:c r="G107" t="str">
        <x:v>Approved</x:v>
      </x:c>
      <x:c r="H107" t="str">
        <x:v>Quality</x:v>
      </x:c>
      <x:c r="I107" s="10" t="n">
        <x:v>46129</x:v>
      </x:c>
      <x:c r="J107" t="n">
        <x:f>F107-ROUND(F107*0.97,2)</x:f>
        <x:v>5.099999999999994</x:v>
      </x:c>
    </x:row>
    <x:row r="108">
      <x:c r="A108" t="n">
        <x:v>107</x:v>
      </x:c>
      <x:c r="B108" t="str">
        <x:v>PN-03-00107</x:v>
      </x:c>
      <x:c r="C108" t="str">
        <x:v>Automation component 107 / 零件 107</x:v>
      </x:c>
      <x:c r="D108" s="8" t="n">
        <x:v>6</x:v>
      </x:c>
      <x:c r="E108" s="8" t="n">
        <x:v>35.38</x:v>
      </x:c>
      <x:c r="F108" s="8" t="n">
        <x:f>D108*E108</x:f>
        <x:v>212.28000000000003</x:v>
      </x:c>
      <x:c r="G108" t="str">
        <x:v>Hold</x:v>
      </x:c>
      <x:c r="H108" t="str">
        <x:v>Production</x:v>
      </x:c>
      <x:c r="I108" s="10" t="n">
        <x:v>46130</x:v>
      </x:c>
      <x:c r="J108" t="n">
        <x:f>F108-ROUND(F108*0.97,2)</x:f>
        <x:v>6.370000000000033</x:v>
      </x:c>
    </x:row>
    <x:row r="109">
      <x:c r="A109" t="n">
        <x:v>108</x:v>
      </x:c>
      <x:c r="B109" t="str">
        <x:v>PN-03-00108</x:v>
      </x:c>
      <x:c r="C109" t="str">
        <x:v>Automation component 108 / 零件 108</x:v>
      </x:c>
      <x:c r="D109" s="8" t="n">
        <x:v>7</x:v>
      </x:c>
      <x:c r="E109" s="8" t="n">
        <x:v>36.75</x:v>
      </x:c>
      <x:c r="F109" s="8" t="n">
        <x:f>D109*E109</x:f>
        <x:v>257.25</x:v>
      </x:c>
      <x:c r="G109" t="str">
        <x:v>Open</x:v>
      </x:c>
      <x:c r="H109" t="str">
        <x:v>Engineering</x:v>
      </x:c>
      <x:c r="I109" s="10" t="n">
        <x:v>46131</x:v>
      </x:c>
      <x:c r="J109" t="n">
        <x:f>F109-ROUND(F109*0.97,2)</x:f>
        <x:v>7.719999999999999</x:v>
      </x:c>
    </x:row>
    <x:row r="110">
      <x:c r="A110" t="n">
        <x:v>109</x:v>
      </x:c>
      <x:c r="B110" t="str">
        <x:v>PN-03-00109</x:v>
      </x:c>
      <x:c r="C110" t="str">
        <x:v>Automation component 109 / 零件 109</x:v>
      </x:c>
      <x:c r="D110" s="8" t="n">
        <x:v>8</x:v>
      </x:c>
      <x:c r="E110" s="8" t="n">
        <x:v>38.12</x:v>
      </x:c>
      <x:c r="F110" s="8" t="n">
        <x:f>D110*E110</x:f>
        <x:v>304.96</x:v>
      </x:c>
      <x:c r="G110" t="str">
        <x:v>Approved</x:v>
      </x:c>
      <x:c r="H110" t="str">
        <x:v>Quality</x:v>
      </x:c>
      <x:c r="I110" s="10" t="n">
        <x:v>46132</x:v>
      </x:c>
      <x:c r="J110" t="n">
        <x:f>F110-ROUND(F110*0.97,2)</x:f>
        <x:v>9.149999999999977</x:v>
      </x:c>
    </x:row>
    <x:row r="111">
      <x:c r="A111" t="n">
        <x:v>110</x:v>
      </x:c>
      <x:c r="B111" t="str">
        <x:v>PN-03-00110</x:v>
      </x:c>
      <x:c r="C111" t="str">
        <x:v>Automation component 110 / 零件 110</x:v>
      </x:c>
      <x:c r="D111" s="8" t="n">
        <x:v>9</x:v>
      </x:c>
      <x:c r="E111" s="8" t="n">
        <x:v>39.49</x:v>
      </x:c>
      <x:c r="F111" s="8" t="n">
        <x:f>D111*E111</x:f>
        <x:v>355.41</x:v>
      </x:c>
      <x:c r="G111" t="str">
        <x:v>Hold</x:v>
      </x:c>
      <x:c r="H111" t="str">
        <x:v>Production</x:v>
      </x:c>
      <x:c r="I111" s="10" t="n">
        <x:v>46133</x:v>
      </x:c>
      <x:c r="J111" t="n">
        <x:f>F111-ROUND(F111*0.97,2)</x:f>
        <x:v>10.660000000000025</x:v>
      </x:c>
    </x:row>
    <x:row r="112">
      <x:c r="A112" t="n">
        <x:v>111</x:v>
      </x:c>
      <x:c r="B112" t="str">
        <x:v>PN-03-00111</x:v>
      </x:c>
      <x:c r="C112" t="str">
        <x:v>Automation component 111 / 零件 111</x:v>
      </x:c>
      <x:c r="D112" s="8" t="n">
        <x:v>10</x:v>
      </x:c>
      <x:c r="E112" s="8" t="n">
        <x:v>40.86</x:v>
      </x:c>
      <x:c r="F112" s="8" t="n">
        <x:f>D112*E112</x:f>
        <x:v>408.6</x:v>
      </x:c>
      <x:c r="G112" t="str">
        <x:v>Open</x:v>
      </x:c>
      <x:c r="H112" t="str">
        <x:v>Engineering</x:v>
      </x:c>
      <x:c r="I112" s="10" t="n">
        <x:v>46134</x:v>
      </x:c>
      <x:c r="J112" t="n">
        <x:f>F112-ROUND(F112*0.97,2)</x:f>
        <x:v>12.260000000000048</x:v>
      </x:c>
    </x:row>
    <x:row r="113">
      <x:c r="A113" t="n">
        <x:v>112</x:v>
      </x:c>
      <x:c r="B113" t="str">
        <x:v>PN-03-00112</x:v>
      </x:c>
      <x:c r="C113" t="str">
        <x:v>Automation component 112 / 零件 112</x:v>
      </x:c>
      <x:c r="D113" s="8" t="n">
        <x:v>11</x:v>
      </x:c>
      <x:c r="E113" s="8" t="n">
        <x:v>42.23</x:v>
      </x:c>
      <x:c r="F113" s="8" t="n">
        <x:f>D113*E113</x:f>
        <x:v>464.53</x:v>
      </x:c>
      <x:c r="G113" t="str">
        <x:v>Approved</x:v>
      </x:c>
      <x:c r="H113" t="str">
        <x:v>Quality</x:v>
      </x:c>
      <x:c r="I113" s="10" t="n">
        <x:v>46135</x:v>
      </x:c>
      <x:c r="J113" t="n">
        <x:f>F113-ROUND(F113*0.97,2)</x:f>
        <x:v>13.939999999999998</x:v>
      </x:c>
    </x:row>
    <x:row r="114">
      <x:c r="A114" t="n">
        <x:v>113</x:v>
      </x:c>
      <x:c r="B114" t="str">
        <x:v>PN-03-00113</x:v>
      </x:c>
      <x:c r="C114" t="str">
        <x:v>Automation component 113 / 零件 113</x:v>
      </x:c>
      <x:c r="D114" s="8" t="n">
        <x:v>12</x:v>
      </x:c>
      <x:c r="E114" s="8" t="n">
        <x:v>43.6</x:v>
      </x:c>
      <x:c r="F114" s="8" t="n">
        <x:f>D114*E114</x:f>
        <x:v>523.2</x:v>
      </x:c>
      <x:c r="G114" t="str">
        <x:v>Hold</x:v>
      </x:c>
      <x:c r="H114" t="str">
        <x:v>Production</x:v>
      </x:c>
      <x:c r="I114" s="10" t="n">
        <x:v>46136</x:v>
      </x:c>
      <x:c r="J114" t="n">
        <x:f>F114-ROUND(F114*0.97,2)</x:f>
        <x:v>15.700000000000045</x:v>
      </x:c>
    </x:row>
    <x:row r="115">
      <x:c r="A115" t="n">
        <x:v>114</x:v>
      </x:c>
      <x:c r="B115" t="str">
        <x:v>PN-03-00114</x:v>
      </x:c>
      <x:c r="C115" t="str">
        <x:v>Automation component 114 / 零件 114</x:v>
      </x:c>
      <x:c r="D115" s="8" t="n">
        <x:v>13</x:v>
      </x:c>
      <x:c r="E115" s="8" t="n">
        <x:v>44.97</x:v>
      </x:c>
      <x:c r="F115" s="8" t="n">
        <x:f>D115*E115</x:f>
        <x:v>584.61</x:v>
      </x:c>
      <x:c r="G115" t="str">
        <x:v>Open</x:v>
      </x:c>
      <x:c r="H115" t="str">
        <x:v>Engineering</x:v>
      </x:c>
      <x:c r="I115" s="10" t="n">
        <x:v>46137</x:v>
      </x:c>
      <x:c r="J115" t="n">
        <x:f>F115-ROUND(F115*0.97,2)</x:f>
        <x:v>17.539999999999964</x:v>
      </x:c>
    </x:row>
    <x:row r="116">
      <x:c r="A116" t="n">
        <x:v>115</x:v>
      </x:c>
      <x:c r="B116" t="str">
        <x:v>PN-03-00115</x:v>
      </x:c>
      <x:c r="C116" t="str">
        <x:v>Automation component 115 / 零件 115</x:v>
      </x:c>
      <x:c r="D116" s="8" t="n">
        <x:v>14</x:v>
      </x:c>
      <x:c r="E116" s="8" t="n">
        <x:v>46.34</x:v>
      </x:c>
      <x:c r="F116" s="8" t="n">
        <x:f>D116*E116</x:f>
        <x:v>648.76</x:v>
      </x:c>
      <x:c r="G116" t="str">
        <x:v>Approved</x:v>
      </x:c>
      <x:c r="H116" t="str">
        <x:v>Quality</x:v>
      </x:c>
      <x:c r="I116" s="10" t="n">
        <x:v>46138</x:v>
      </x:c>
      <x:c r="J116" t="n">
        <x:f>F116-ROUND(F116*0.97,2)</x:f>
        <x:v>19.460000000000036</x:v>
      </x:c>
    </x:row>
    <x:row r="117">
      <x:c r="A117" t="n">
        <x:v>116</x:v>
      </x:c>
      <x:c r="B117" t="str">
        <x:v>PN-03-00116</x:v>
      </x:c>
      <x:c r="C117" t="str">
        <x:v>Automation component 116 / 零件 116</x:v>
      </x:c>
      <x:c r="D117" s="8" t="n">
        <x:v>15</x:v>
      </x:c>
      <x:c r="E117" s="8" t="n">
        <x:v>47.71</x:v>
      </x:c>
      <x:c r="F117" s="8" t="n">
        <x:f>D117*E117</x:f>
        <x:v>715.65</x:v>
      </x:c>
      <x:c r="G117" t="str">
        <x:v>Hold</x:v>
      </x:c>
      <x:c r="H117" t="str">
        <x:v>Production</x:v>
      </x:c>
      <x:c r="I117" s="10" t="n">
        <x:v>46139</x:v>
      </x:c>
      <x:c r="J117" t="n">
        <x:f>F117-ROUND(F117*0.97,2)</x:f>
        <x:v>21.470000000000027</x:v>
      </x:c>
    </x:row>
    <x:row r="118">
      <x:c r="A118" t="n">
        <x:v>117</x:v>
      </x:c>
      <x:c r="B118" t="str">
        <x:v>PN-03-00117</x:v>
      </x:c>
      <x:c r="C118" t="str">
        <x:v>Automation component 117 / 零件 117</x:v>
      </x:c>
      <x:c r="D118" s="8" t="n">
        <x:v>16</x:v>
      </x:c>
      <x:c r="E118" s="8" t="n">
        <x:v>49.08</x:v>
      </x:c>
      <x:c r="F118" s="8" t="n">
        <x:f>D118*E118</x:f>
        <x:v>785.28</x:v>
      </x:c>
      <x:c r="G118" t="str">
        <x:v>Open</x:v>
      </x:c>
      <x:c r="H118" t="str">
        <x:v>Engineering</x:v>
      </x:c>
      <x:c r="I118" s="10" t="n">
        <x:v>46140</x:v>
      </x:c>
      <x:c r="J118" t="n">
        <x:f>F118-ROUND(F118*0.97,2)</x:f>
        <x:v>23.559999999999945</x:v>
      </x:c>
    </x:row>
    <x:row r="119">
      <x:c r="A119" t="n">
        <x:v>118</x:v>
      </x:c>
      <x:c r="B119" t="str">
        <x:v>PN-03-00118</x:v>
      </x:c>
      <x:c r="C119" t="str">
        <x:v>Automation component 118 / 零件 118</x:v>
      </x:c>
      <x:c r="D119" s="8" t="n">
        <x:v>17</x:v>
      </x:c>
      <x:c r="E119" s="8" t="n">
        <x:v>50.45</x:v>
      </x:c>
      <x:c r="F119" s="8" t="n">
        <x:f>D119*E119</x:f>
        <x:v>857.6500000000001</x:v>
      </x:c>
      <x:c r="G119" t="str">
        <x:v>Approved</x:v>
      </x:c>
      <x:c r="H119" t="str">
        <x:v>Quality</x:v>
      </x:c>
      <x:c r="I119" s="10" t="n">
        <x:v>46141</x:v>
      </x:c>
      <x:c r="J119" t="n">
        <x:f>F119-ROUND(F119*0.97,2)</x:f>
        <x:v>25.730000000000132</x:v>
      </x:c>
    </x:row>
    <x:row r="120">
      <x:c r="A120" t="n">
        <x:v>119</x:v>
      </x:c>
      <x:c r="B120" t="str">
        <x:v>PN-03-00119</x:v>
      </x:c>
      <x:c r="C120" t="str">
        <x:v>Automation component 119 / 零件 119</x:v>
      </x:c>
      <x:c r="D120" s="8" t="n">
        <x:v>1</x:v>
      </x:c>
      <x:c r="E120" s="8" t="n">
        <x:v>51.82</x:v>
      </x:c>
      <x:c r="F120" s="8" t="n">
        <x:f>D120*E120</x:f>
        <x:v>51.82</x:v>
      </x:c>
      <x:c r="G120" t="str">
        <x:v>Hold</x:v>
      </x:c>
      <x:c r="H120" t="str">
        <x:v>Production</x:v>
      </x:c>
      <x:c r="I120" s="10" t="n">
        <x:v>46142</x:v>
      </x:c>
      <x:c r="J120" t="n">
        <x:f>F120-ROUND(F120*0.97,2)</x:f>
        <x:v>1.5499999999999972</x:v>
      </x:c>
    </x:row>
    <x:row r="121">
      <x:c r="A121" t="n">
        <x:v>120</x:v>
      </x:c>
      <x:c r="B121" t="str">
        <x:v>PN-03-00120</x:v>
      </x:c>
      <x:c r="C121" t="str">
        <x:v>Automation component 120 / 零件 120</x:v>
      </x:c>
      <x:c r="D121" s="8" t="n">
        <x:v>2</x:v>
      </x:c>
      <x:c r="E121" s="8" t="n">
        <x:v>53.19</x:v>
      </x:c>
      <x:c r="F121" s="8" t="n">
        <x:f>D121*E121</x:f>
        <x:v>106.38</x:v>
      </x:c>
      <x:c r="G121" t="str">
        <x:v>Open</x:v>
      </x:c>
      <x:c r="H121" t="str">
        <x:v>Engineering</x:v>
      </x:c>
      <x:c r="I121" s="10" t="n">
        <x:v>46143</x:v>
      </x:c>
      <x:c r="J121" t="n">
        <x:f>F121-ROUND(F121*0.97,2)</x:f>
        <x:v>3.1899999999999977</x:v>
      </x:c>
    </x:row>
    <x:row r="122">
      <x:c r="A122" t="n">
        <x:v>121</x:v>
      </x:c>
      <x:c r="B122" t="str">
        <x:v>PN-03-00121</x:v>
      </x:c>
      <x:c r="C122" t="str">
        <x:v>Automation component 121 / 零件 121</x:v>
      </x:c>
      <x:c r="D122" s="8" t="n">
        <x:v>3</x:v>
      </x:c>
      <x:c r="E122" s="8" t="n">
        <x:v>54.56</x:v>
      </x:c>
      <x:c r="F122" s="8" t="n">
        <x:f>D122*E122</x:f>
        <x:v>163.68</x:v>
      </x:c>
      <x:c r="G122" t="str">
        <x:v>Approved</x:v>
      </x:c>
      <x:c r="H122" t="str">
        <x:v>Quality</x:v>
      </x:c>
      <x:c r="I122" s="10" t="n">
        <x:v>46144</x:v>
      </x:c>
      <x:c r="J122" t="n">
        <x:f>F122-ROUND(F122*0.97,2)</x:f>
        <x:v>4.909999999999997</x:v>
      </x:c>
    </x:row>
    <x:row r="123">
      <x:c r="A123" t="n">
        <x:v>122</x:v>
      </x:c>
      <x:c r="B123" t="str">
        <x:v>PN-03-00122</x:v>
      </x:c>
      <x:c r="C123" t="str">
        <x:v>Automation component 122 / 零件 122</x:v>
      </x:c>
      <x:c r="D123" s="8" t="n">
        <x:v>4</x:v>
      </x:c>
      <x:c r="E123" s="8" t="n">
        <x:v>55.93</x:v>
      </x:c>
      <x:c r="F123" s="8" t="n">
        <x:f>D123*E123</x:f>
        <x:v>223.72</x:v>
      </x:c>
      <x:c r="G123" t="str">
        <x:v>Hold</x:v>
      </x:c>
      <x:c r="H123" t="str">
        <x:v>Production</x:v>
      </x:c>
      <x:c r="I123" s="10" t="n">
        <x:v>46145</x:v>
      </x:c>
      <x:c r="J123" t="n">
        <x:f>F123-ROUND(F123*0.97,2)</x:f>
        <x:v>6.710000000000008</x:v>
      </x:c>
    </x:row>
    <x:row r="124">
      <x:c r="A124" t="n">
        <x:v>123</x:v>
      </x:c>
      <x:c r="B124" t="str">
        <x:v>PN-03-00123</x:v>
      </x:c>
      <x:c r="C124" t="str">
        <x:v>Automation component 123 / 零件 123</x:v>
      </x:c>
      <x:c r="D124" s="8" t="n">
        <x:v>5</x:v>
      </x:c>
      <x:c r="E124" s="8" t="n">
        <x:v>57.3</x:v>
      </x:c>
      <x:c r="F124" s="8" t="n">
        <x:f>D124*E124</x:f>
        <x:v>286.5</x:v>
      </x:c>
      <x:c r="G124" t="str">
        <x:v>Open</x:v>
      </x:c>
      <x:c r="H124" t="str">
        <x:v>Engineering</x:v>
      </x:c>
      <x:c r="I124" s="10" t="n">
        <x:v>46146</x:v>
      </x:c>
      <x:c r="J124" t="n">
        <x:f>F124-ROUND(F124*0.97,2)</x:f>
        <x:v>8.600000000000023</x:v>
      </x:c>
    </x:row>
    <x:row r="125">
      <x:c r="A125" t="n">
        <x:v>124</x:v>
      </x:c>
      <x:c r="B125" t="str">
        <x:v>PN-03-00124</x:v>
      </x:c>
      <x:c r="C125" t="str">
        <x:v>Automation component 124 / 零件 124</x:v>
      </x:c>
      <x:c r="D125" s="8" t="n">
        <x:v>6</x:v>
      </x:c>
      <x:c r="E125" s="8" t="n">
        <x:v>58.67</x:v>
      </x:c>
      <x:c r="F125" s="8" t="n">
        <x:f>D125*E125</x:f>
        <x:v>352.02</x:v>
      </x:c>
      <x:c r="G125" t="str">
        <x:v>Approved</x:v>
      </x:c>
      <x:c r="H125" t="str">
        <x:v>Quality</x:v>
      </x:c>
      <x:c r="I125" s="10" t="n">
        <x:v>46147</x:v>
      </x:c>
      <x:c r="J125" t="n">
        <x:f>F125-ROUND(F125*0.97,2)</x:f>
        <x:v>10.560000000000002</x:v>
      </x:c>
    </x:row>
    <x:row r="126">
      <x:c r="A126" t="n">
        <x:v>125</x:v>
      </x:c>
      <x:c r="B126" t="str">
        <x:v>PN-03-00125</x:v>
      </x:c>
      <x:c r="C126" t="str">
        <x:v>Automation component 125 / 零件 125</x:v>
      </x:c>
      <x:c r="D126" s="8" t="n">
        <x:v>7</x:v>
      </x:c>
      <x:c r="E126" s="8" t="n">
        <x:v>60.04</x:v>
      </x:c>
      <x:c r="F126" s="8" t="n">
        <x:f>D126*E126</x:f>
        <x:v>420.28</x:v>
      </x:c>
      <x:c r="G126" t="str">
        <x:v>Hold</x:v>
      </x:c>
      <x:c r="H126" t="str">
        <x:v>Production</x:v>
      </x:c>
      <x:c r="I126" s="10" t="n">
        <x:v>46148</x:v>
      </x:c>
      <x:c r="J126" t="n">
        <x:f>F126-ROUND(F126*0.97,2)</x:f>
        <x:v>12.609999999999957</x:v>
      </x:c>
    </x:row>
    <x:row r="127">
      <x:c r="A127" t="n">
        <x:v>126</x:v>
      </x:c>
      <x:c r="B127" t="str">
        <x:v>PN-03-00126</x:v>
      </x:c>
      <x:c r="C127" t="str">
        <x:v>Automation component 126 / 零件 126</x:v>
      </x:c>
      <x:c r="D127" s="8" t="n">
        <x:v>8</x:v>
      </x:c>
      <x:c r="E127" s="8" t="n">
        <x:v>61.41</x:v>
      </x:c>
      <x:c r="F127" s="8" t="n">
        <x:f>D127*E127</x:f>
        <x:v>491.28</x:v>
      </x:c>
      <x:c r="G127" t="str">
        <x:v>Open</x:v>
      </x:c>
      <x:c r="H127" t="str">
        <x:v>Engineering</x:v>
      </x:c>
      <x:c r="I127" s="10" t="n">
        <x:v>46149</x:v>
      </x:c>
      <x:c r="J127" t="n">
        <x:f>F127-ROUND(F127*0.97,2)</x:f>
        <x:v>14.739999999999952</x:v>
      </x:c>
    </x:row>
    <x:row r="128">
      <x:c r="A128" t="n">
        <x:v>127</x:v>
      </x:c>
      <x:c r="B128" t="str">
        <x:v>PN-03-00127</x:v>
      </x:c>
      <x:c r="C128" t="str">
        <x:v>Automation component 127 / 零件 127</x:v>
      </x:c>
      <x:c r="D128" s="8" t="n">
        <x:v>9</x:v>
      </x:c>
      <x:c r="E128" s="8" t="n">
        <x:v>62.78</x:v>
      </x:c>
      <x:c r="F128" s="8" t="n">
        <x:f>D128*E128</x:f>
        <x:v>565.02</x:v>
      </x:c>
      <x:c r="G128" t="str">
        <x:v>Approved</x:v>
      </x:c>
      <x:c r="H128" t="str">
        <x:v>Quality</x:v>
      </x:c>
      <x:c r="I128" s="10" t="n">
        <x:v>46150</x:v>
      </x:c>
      <x:c r="J128" t="n">
        <x:f>F128-ROUND(F128*0.97,2)</x:f>
        <x:v>16.949999999999932</x:v>
      </x:c>
    </x:row>
    <x:row r="129">
      <x:c r="A129" t="n">
        <x:v>128</x:v>
      </x:c>
      <x:c r="B129" t="str">
        <x:v>PN-03-00128</x:v>
      </x:c>
      <x:c r="C129" t="str">
        <x:v>Automation component 128 / 零件 128</x:v>
      </x:c>
      <x:c r="D129" s="8" t="n">
        <x:v>10</x:v>
      </x:c>
      <x:c r="E129" s="8" t="n">
        <x:v>64.15</x:v>
      </x:c>
      <x:c r="F129" s="8" t="n">
        <x:f>D129*E129</x:f>
        <x:v>641.5</x:v>
      </x:c>
      <x:c r="G129" t="str">
        <x:v>Hold</x:v>
      </x:c>
      <x:c r="H129" t="str">
        <x:v>Production</x:v>
      </x:c>
      <x:c r="I129" s="10" t="n">
        <x:v>46151</x:v>
      </x:c>
      <x:c r="J129" t="n">
        <x:f>F129-ROUND(F129*0.97,2)</x:f>
        <x:v>19.24000000000001</x:v>
      </x:c>
    </x:row>
    <x:row r="130">
      <x:c r="A130" t="n">
        <x:v>129</x:v>
      </x:c>
      <x:c r="B130" t="str">
        <x:v>PN-03-00129</x:v>
      </x:c>
      <x:c r="C130" t="str">
        <x:v>Automation component 129 / 零件 129</x:v>
      </x:c>
      <x:c r="D130" s="8" t="n">
        <x:v>11</x:v>
      </x:c>
      <x:c r="E130" s="8" t="n">
        <x:v>65.52</x:v>
      </x:c>
      <x:c r="F130" s="8" t="n">
        <x:f>D130*E130</x:f>
        <x:v>720.7199999999999</x:v>
      </x:c>
      <x:c r="G130" t="str">
        <x:v>Open</x:v>
      </x:c>
      <x:c r="H130" t="str">
        <x:v>Engineering</x:v>
      </x:c>
      <x:c r="I130" s="10" t="n">
        <x:v>46152</x:v>
      </x:c>
      <x:c r="J130" t="n">
        <x:f>F130-ROUND(F130*0.97,2)</x:f>
        <x:v>21.61999999999989</x:v>
      </x:c>
    </x:row>
    <x:row r="131">
      <x:c r="A131" t="n">
        <x:v>130</x:v>
      </x:c>
      <x:c r="B131" t="str">
        <x:v>PN-03-00130</x:v>
      </x:c>
      <x:c r="C131" t="str">
        <x:v>Automation component 130 / 零件 130</x:v>
      </x:c>
      <x:c r="D131" s="8" t="n">
        <x:v>12</x:v>
      </x:c>
      <x:c r="E131" s="8" t="n">
        <x:v>66.89</x:v>
      </x:c>
      <x:c r="F131" s="8" t="n">
        <x:f>D131*E131</x:f>
        <x:v>802.6800000000001</x:v>
      </x:c>
      <x:c r="G131" t="str">
        <x:v>Approved</x:v>
      </x:c>
      <x:c r="H131" t="str">
        <x:v>Quality</x:v>
      </x:c>
      <x:c r="I131" s="10" t="n">
        <x:v>46153</x:v>
      </x:c>
      <x:c r="J131" t="n">
        <x:f>F131-ROUND(F131*0.97,2)</x:f>
        <x:v>24.08000000000004</x:v>
      </x:c>
    </x:row>
    <x:row r="132">
      <x:c r="A132" t="n">
        <x:v>131</x:v>
      </x:c>
      <x:c r="B132" t="str">
        <x:v>PN-03-00131</x:v>
      </x:c>
      <x:c r="C132" t="str">
        <x:v>Automation component 131 / 零件 131</x:v>
      </x:c>
      <x:c r="D132" s="8" t="n">
        <x:v>13</x:v>
      </x:c>
      <x:c r="E132" s="8" t="n">
        <x:v>68.26</x:v>
      </x:c>
      <x:c r="F132" s="8" t="n">
        <x:f>D132*E132</x:f>
        <x:v>887.3800000000001</x:v>
      </x:c>
      <x:c r="G132" t="str">
        <x:v>Hold</x:v>
      </x:c>
      <x:c r="H132" t="str">
        <x:v>Production</x:v>
      </x:c>
      <x:c r="I132" s="10" t="n">
        <x:v>46154</x:v>
      </x:c>
      <x:c r="J132" t="n">
        <x:f>F132-ROUND(F132*0.97,2)</x:f>
        <x:v>26.62000000000012</x:v>
      </x:c>
    </x:row>
    <x:row r="133">
      <x:c r="A133" t="n">
        <x:v>132</x:v>
      </x:c>
      <x:c r="B133" t="str">
        <x:v>PN-03-00132</x:v>
      </x:c>
      <x:c r="C133" t="str">
        <x:v>Automation component 132 / 零件 132</x:v>
      </x:c>
      <x:c r="D133" s="8" t="n">
        <x:v>14</x:v>
      </x:c>
      <x:c r="E133" s="8" t="n">
        <x:v>69.63</x:v>
      </x:c>
      <x:c r="F133" s="8" t="n">
        <x:f>D133*E133</x:f>
        <x:v>974.8199999999999</x:v>
      </x:c>
      <x:c r="G133" t="str">
        <x:v>Open</x:v>
      </x:c>
      <x:c r="H133" t="str">
        <x:v>Engineering</x:v>
      </x:c>
      <x:c r="I133" s="10" t="n">
        <x:v>46155</x:v>
      </x:c>
      <x:c r="J133" t="n">
        <x:f>F133-ROUND(F133*0.97,2)</x:f>
        <x:v>29.239999999999895</x:v>
      </x:c>
    </x:row>
    <x:row r="134">
      <x:c r="A134" t="n">
        <x:v>133</x:v>
      </x:c>
      <x:c r="B134" t="str">
        <x:v>PN-03-00133</x:v>
      </x:c>
      <x:c r="C134" t="str">
        <x:v>Automation component 133 / 零件 133</x:v>
      </x:c>
      <x:c r="D134" s="8" t="n">
        <x:v>15</x:v>
      </x:c>
      <x:c r="E134" s="8" t="n">
        <x:v>71</x:v>
      </x:c>
      <x:c r="F134" s="8" t="n">
        <x:f>D134*E134</x:f>
        <x:v>1065</x:v>
      </x:c>
      <x:c r="G134" t="str">
        <x:v>Approved</x:v>
      </x:c>
      <x:c r="H134" t="str">
        <x:v>Quality</x:v>
      </x:c>
      <x:c r="I134" s="10" t="n">
        <x:v>46156</x:v>
      </x:c>
      <x:c r="J134" t="n">
        <x:f>F134-ROUND(F134*0.97,2)</x:f>
        <x:v>31.950000000000045</x:v>
      </x:c>
    </x:row>
    <x:row r="135">
      <x:c r="A135" t="n">
        <x:v>134</x:v>
      </x:c>
      <x:c r="B135" t="str">
        <x:v>PN-03-00134</x:v>
      </x:c>
      <x:c r="C135" t="str">
        <x:v>Automation component 134 / 零件 134</x:v>
      </x:c>
      <x:c r="D135" s="8" t="n">
        <x:v>16</x:v>
      </x:c>
      <x:c r="E135" s="8" t="n">
        <x:v>72.37</x:v>
      </x:c>
      <x:c r="F135" s="8" t="n">
        <x:f>D135*E135</x:f>
        <x:v>1157.92</x:v>
      </x:c>
      <x:c r="G135" t="str">
        <x:v>Hold</x:v>
      </x:c>
      <x:c r="H135" t="str">
        <x:v>Production</x:v>
      </x:c>
      <x:c r="I135" s="10" t="n">
        <x:v>46157</x:v>
      </x:c>
      <x:c r="J135" t="n">
        <x:f>F135-ROUND(F135*0.97,2)</x:f>
        <x:v>34.74000000000001</x:v>
      </x:c>
    </x:row>
    <x:row r="136">
      <x:c r="A136" t="n">
        <x:v>135</x:v>
      </x:c>
      <x:c r="B136" t="str">
        <x:v>PN-03-00135</x:v>
      </x:c>
      <x:c r="C136" t="str">
        <x:v>Automation component 135 / 零件 135</x:v>
      </x:c>
      <x:c r="D136" s="8" t="n">
        <x:v>17</x:v>
      </x:c>
      <x:c r="E136" s="8" t="n">
        <x:v>73.74</x:v>
      </x:c>
      <x:c r="F136" s="8" t="n">
        <x:f>D136*E136</x:f>
        <x:v>1253.58</x:v>
      </x:c>
      <x:c r="G136" t="str">
        <x:v>Open</x:v>
      </x:c>
      <x:c r="H136" t="str">
        <x:v>Engineering</x:v>
      </x:c>
      <x:c r="I136" s="10" t="n">
        <x:v>46158</x:v>
      </x:c>
      <x:c r="J136" t="n">
        <x:f>F136-ROUND(F136*0.97,2)</x:f>
        <x:v>37.6099999999999</x:v>
      </x:c>
    </x:row>
    <x:row r="137">
      <x:c r="A137" t="n">
        <x:v>136</x:v>
      </x:c>
      <x:c r="B137" t="str">
        <x:v>PN-03-00136</x:v>
      </x:c>
      <x:c r="C137" t="str">
        <x:v>Automation component 136 / 零件 136</x:v>
      </x:c>
      <x:c r="D137" s="8" t="n">
        <x:v>1</x:v>
      </x:c>
      <x:c r="E137" s="8" t="n">
        <x:v>75.11</x:v>
      </x:c>
      <x:c r="F137" s="8" t="n">
        <x:f>D137*E137</x:f>
        <x:v>75.11</x:v>
      </x:c>
      <x:c r="G137" t="str">
        <x:v>Approved</x:v>
      </x:c>
      <x:c r="H137" t="str">
        <x:v>Quality</x:v>
      </x:c>
      <x:c r="I137" s="10" t="n">
        <x:v>46159</x:v>
      </x:c>
      <x:c r="J137" t="n">
        <x:f>F137-ROUND(F137*0.97,2)</x:f>
        <x:v>2.25</x:v>
      </x:c>
    </x:row>
    <x:row r="138">
      <x:c r="A138" t="n">
        <x:v>137</x:v>
      </x:c>
      <x:c r="B138" t="str">
        <x:v>PN-03-00137</x:v>
      </x:c>
      <x:c r="C138" t="str">
        <x:v>Automation component 137 / 零件 137</x:v>
      </x:c>
      <x:c r="D138" s="8" t="n">
        <x:v>2</x:v>
      </x:c>
      <x:c r="E138" s="8" t="n">
        <x:v>76.48</x:v>
      </x:c>
      <x:c r="F138" s="8" t="n">
        <x:f>D138*E138</x:f>
        <x:v>152.96</x:v>
      </x:c>
      <x:c r="G138" t="str">
        <x:v>Hold</x:v>
      </x:c>
      <x:c r="H138" t="str">
        <x:v>Production</x:v>
      </x:c>
      <x:c r="I138" s="10" t="n">
        <x:v>46160</x:v>
      </x:c>
      <x:c r="J138" t="n">
        <x:f>F138-ROUND(F138*0.97,2)</x:f>
        <x:v>4.590000000000003</x:v>
      </x:c>
    </x:row>
    <x:row r="139">
      <x:c r="A139" t="n">
        <x:v>138</x:v>
      </x:c>
      <x:c r="B139" t="str">
        <x:v>PN-03-00138</x:v>
      </x:c>
      <x:c r="C139" t="str">
        <x:v>Automation component 138 / 零件 138</x:v>
      </x:c>
      <x:c r="D139" s="8" t="n">
        <x:v>3</x:v>
      </x:c>
      <x:c r="E139" s="8" t="n">
        <x:v>77.85</x:v>
      </x:c>
      <x:c r="F139" s="8" t="n">
        <x:f>D139*E139</x:f>
        <x:v>233.54999999999998</x:v>
      </x:c>
      <x:c r="G139" t="str">
        <x:v>Open</x:v>
      </x:c>
      <x:c r="H139" t="str">
        <x:v>Engineering</x:v>
      </x:c>
      <x:c r="I139" s="10" t="n">
        <x:v>46161</x:v>
      </x:c>
      <x:c r="J139" t="n">
        <x:f>F139-ROUND(F139*0.97,2)</x:f>
        <x:v>7.009999999999991</x:v>
      </x:c>
    </x:row>
    <x:row r="140">
      <x:c r="A140" t="n">
        <x:v>139</x:v>
      </x:c>
      <x:c r="B140" t="str">
        <x:v>PN-03-00139</x:v>
      </x:c>
      <x:c r="C140" t="str">
        <x:v>Automation component 139 / 零件 139</x:v>
      </x:c>
      <x:c r="D140" s="8" t="n">
        <x:v>4</x:v>
      </x:c>
      <x:c r="E140" s="8" t="n">
        <x:v>79.22</x:v>
      </x:c>
      <x:c r="F140" s="8" t="n">
        <x:f>D140*E140</x:f>
        <x:v>316.88</x:v>
      </x:c>
      <x:c r="G140" t="str">
        <x:v>Approved</x:v>
      </x:c>
      <x:c r="H140" t="str">
        <x:v>Quality</x:v>
      </x:c>
      <x:c r="I140" s="10" t="n">
        <x:v>46162</x:v>
      </x:c>
      <x:c r="J140" t="n">
        <x:f>F140-ROUND(F140*0.97,2)</x:f>
        <x:v>9.509999999999991</x:v>
      </x:c>
    </x:row>
    <x:row r="141">
      <x:c r="A141" t="n">
        <x:v>140</x:v>
      </x:c>
      <x:c r="B141" t="str">
        <x:v>PN-03-00140</x:v>
      </x:c>
      <x:c r="C141" t="str">
        <x:v>Automation component 140 / 零件 140</x:v>
      </x:c>
      <x:c r="D141" s="8" t="n">
        <x:v>5</x:v>
      </x:c>
      <x:c r="E141" s="8" t="n">
        <x:v>80.59</x:v>
      </x:c>
      <x:c r="F141" s="8" t="n">
        <x:f>D141*E141</x:f>
        <x:v>402.95000000000005</x:v>
      </x:c>
      <x:c r="G141" t="str">
        <x:v>Hold</x:v>
      </x:c>
      <x:c r="H141" t="str">
        <x:v>Production</x:v>
      </x:c>
      <x:c r="I141" s="10" t="n">
        <x:v>46163</x:v>
      </x:c>
      <x:c r="J141" t="n">
        <x:f>F141-ROUND(F141*0.97,2)</x:f>
        <x:v>12.090000000000032</x:v>
      </x:c>
    </x:row>
    <x:row r="142">
      <x:c r="A142" t="n">
        <x:v>141</x:v>
      </x:c>
      <x:c r="B142" t="str">
        <x:v>PN-03-00141</x:v>
      </x:c>
      <x:c r="C142" t="str">
        <x:v>Automation component 141 / 零件 141</x:v>
      </x:c>
      <x:c r="D142" s="8" t="n">
        <x:v>6</x:v>
      </x:c>
      <x:c r="E142" s="8" t="n">
        <x:v>81.96</x:v>
      </x:c>
      <x:c r="F142" s="8" t="n">
        <x:f>D142*E142</x:f>
        <x:v>491.76</x:v>
      </x:c>
      <x:c r="G142" t="str">
        <x:v>Open</x:v>
      </x:c>
      <x:c r="H142" t="str">
        <x:v>Engineering</x:v>
      </x:c>
      <x:c r="I142" s="10" t="n">
        <x:v>46164</x:v>
      </x:c>
      <x:c r="J142" t="n">
        <x:f>F142-ROUND(F142*0.97,2)</x:f>
        <x:v>14.75</x:v>
      </x:c>
    </x:row>
    <x:row r="143">
      <x:c r="A143" t="n">
        <x:v>142</x:v>
      </x:c>
      <x:c r="B143" t="str">
        <x:v>PN-03-00142</x:v>
      </x:c>
      <x:c r="C143" t="str">
        <x:v>Automation component 142 / 零件 142</x:v>
      </x:c>
      <x:c r="D143" s="8" t="n">
        <x:v>7</x:v>
      </x:c>
      <x:c r="E143" s="8" t="n">
        <x:v>83.33</x:v>
      </x:c>
      <x:c r="F143" s="8" t="n">
        <x:f>D143*E143</x:f>
        <x:v>583.31</x:v>
      </x:c>
      <x:c r="G143" t="str">
        <x:v>Approved</x:v>
      </x:c>
      <x:c r="H143" t="str">
        <x:v>Quality</x:v>
      </x:c>
      <x:c r="I143" s="10" t="n">
        <x:v>46165</x:v>
      </x:c>
      <x:c r="J143" t="n">
        <x:f>F143-ROUND(F143*0.97,2)</x:f>
        <x:v>17.5</x:v>
      </x:c>
    </x:row>
    <x:row r="144">
      <x:c r="A144" t="n">
        <x:v>143</x:v>
      </x:c>
      <x:c r="B144" t="str">
        <x:v>PN-03-00143</x:v>
      </x:c>
      <x:c r="C144" t="str">
        <x:v>Automation component 143 / 零件 143</x:v>
      </x:c>
      <x:c r="D144" s="8" t="n">
        <x:v>8</x:v>
      </x:c>
      <x:c r="E144" s="8" t="n">
        <x:v>84.7</x:v>
      </x:c>
      <x:c r="F144" s="8" t="n">
        <x:f>D144*E144</x:f>
        <x:v>677.6</x:v>
      </x:c>
      <x:c r="G144" t="str">
        <x:v>Hold</x:v>
      </x:c>
      <x:c r="H144" t="str">
        <x:v>Production</x:v>
      </x:c>
      <x:c r="I144" s="10" t="n">
        <x:v>46166</x:v>
      </x:c>
      <x:c r="J144" t="n">
        <x:f>F144-ROUND(F144*0.97,2)</x:f>
        <x:v>20.33000000000004</x:v>
      </x:c>
    </x:row>
    <x:row r="145">
      <x:c r="A145" t="n">
        <x:v>144</x:v>
      </x:c>
      <x:c r="B145" t="str">
        <x:v>PN-03-00144</x:v>
      </x:c>
      <x:c r="C145" t="str">
        <x:v>Automation component 144 / 零件 144</x:v>
      </x:c>
      <x:c r="D145" s="8" t="n">
        <x:v>9</x:v>
      </x:c>
      <x:c r="E145" s="8" t="n">
        <x:v>86.07</x:v>
      </x:c>
      <x:c r="F145" s="8" t="n">
        <x:f>D145*E145</x:f>
        <x:v>774.6299999999999</x:v>
      </x:c>
      <x:c r="G145" t="str">
        <x:v>Open</x:v>
      </x:c>
      <x:c r="H145" t="str">
        <x:v>Engineering</x:v>
      </x:c>
      <x:c r="I145" s="10" t="n">
        <x:v>46167</x:v>
      </x:c>
      <x:c r="J145" t="n">
        <x:f>F145-ROUND(F145*0.97,2)</x:f>
        <x:v>23.239999999999895</x:v>
      </x:c>
    </x:row>
    <x:row r="146">
      <x:c r="A146" t="n">
        <x:v>145</x:v>
      </x:c>
      <x:c r="B146" t="str">
        <x:v>PN-03-00145</x:v>
      </x:c>
      <x:c r="C146" t="str">
        <x:v>Automation component 145 / 零件 145</x:v>
      </x:c>
      <x:c r="D146" s="8" t="n">
        <x:v>10</x:v>
      </x:c>
      <x:c r="E146" s="8" t="n">
        <x:v>87.44</x:v>
      </x:c>
      <x:c r="F146" s="8" t="n">
        <x:f>D146*E146</x:f>
        <x:v>874.4</x:v>
      </x:c>
      <x:c r="G146" t="str">
        <x:v>Approved</x:v>
      </x:c>
      <x:c r="H146" t="str">
        <x:v>Quality</x:v>
      </x:c>
      <x:c r="I146" s="10" t="n">
        <x:v>46168</x:v>
      </x:c>
      <x:c r="J146" t="n">
        <x:f>F146-ROUND(F146*0.97,2)</x:f>
        <x:v>26.230000000000018</x:v>
      </x:c>
    </x:row>
    <x:row r="147">
      <x:c r="A147" t="n">
        <x:v>146</x:v>
      </x:c>
      <x:c r="B147" t="str">
        <x:v>PN-03-00146</x:v>
      </x:c>
      <x:c r="C147" t="str">
        <x:v>Automation component 146 / 零件 146</x:v>
      </x:c>
      <x:c r="D147" s="8" t="n">
        <x:v>11</x:v>
      </x:c>
      <x:c r="E147" s="8" t="n">
        <x:v>88.81</x:v>
      </x:c>
      <x:c r="F147" s="8" t="n">
        <x:f>D147*E147</x:f>
        <x:v>976.9100000000001</x:v>
      </x:c>
      <x:c r="G147" t="str">
        <x:v>Hold</x:v>
      </x:c>
      <x:c r="H147" t="str">
        <x:v>Production</x:v>
      </x:c>
      <x:c r="I147" s="10" t="n">
        <x:v>46169</x:v>
      </x:c>
      <x:c r="J147" t="n">
        <x:f>F147-ROUND(F147*0.97,2)</x:f>
        <x:v>29.31000000000006</x:v>
      </x:c>
    </x:row>
    <x:row r="148">
      <x:c r="A148" t="n">
        <x:v>147</x:v>
      </x:c>
      <x:c r="B148" t="str">
        <x:v>PN-03-00147</x:v>
      </x:c>
      <x:c r="C148" t="str">
        <x:v>Automation component 147 / 零件 147</x:v>
      </x:c>
      <x:c r="D148" s="8" t="n">
        <x:v>12</x:v>
      </x:c>
      <x:c r="E148" s="8" t="n">
        <x:v>90.18</x:v>
      </x:c>
      <x:c r="F148" s="8" t="n">
        <x:f>D148*E148</x:f>
        <x:v>1082.16</x:v>
      </x:c>
      <x:c r="G148" t="str">
        <x:v>Open</x:v>
      </x:c>
      <x:c r="H148" t="str">
        <x:v>Engineering</x:v>
      </x:c>
      <x:c r="I148" s="10" t="n">
        <x:v>46170</x:v>
      </x:c>
      <x:c r="J148" t="n">
        <x:f>F148-ROUND(F148*0.97,2)</x:f>
        <x:v>32.460000000000036</x:v>
      </x:c>
    </x:row>
    <x:row r="149">
      <x:c r="A149" t="n">
        <x:v>148</x:v>
      </x:c>
      <x:c r="B149" t="str">
        <x:v>PN-03-00148</x:v>
      </x:c>
      <x:c r="C149" t="str">
        <x:v>Automation component 148 / 零件 148</x:v>
      </x:c>
      <x:c r="D149" s="8" t="n">
        <x:v>13</x:v>
      </x:c>
      <x:c r="E149" s="8" t="n">
        <x:v>91.55</x:v>
      </x:c>
      <x:c r="F149" s="8" t="n">
        <x:f>D149*E149</x:f>
        <x:v>1190.1499999999999</x:v>
      </x:c>
      <x:c r="G149" t="str">
        <x:v>Approved</x:v>
      </x:c>
      <x:c r="H149" t="str">
        <x:v>Quality</x:v>
      </x:c>
      <x:c r="I149" s="10" t="n">
        <x:v>46171</x:v>
      </x:c>
      <x:c r="J149" t="n">
        <x:f>F149-ROUND(F149*0.97,2)</x:f>
        <x:v>35.69999999999982</x:v>
      </x:c>
    </x:row>
    <x:row r="150">
      <x:c r="A150" t="n">
        <x:v>149</x:v>
      </x:c>
      <x:c r="B150" t="str">
        <x:v>PN-03-00149</x:v>
      </x:c>
      <x:c r="C150" t="str">
        <x:v>Automation component 149 / 零件 149</x:v>
      </x:c>
      <x:c r="D150" s="8" t="n">
        <x:v>14</x:v>
      </x:c>
      <x:c r="E150" s="8" t="n">
        <x:v>92.92</x:v>
      </x:c>
      <x:c r="F150" s="8" t="n">
        <x:f>D150*E150</x:f>
        <x:v>1300.88</x:v>
      </x:c>
      <x:c r="G150" t="str">
        <x:v>Hold</x:v>
      </x:c>
      <x:c r="H150" t="str">
        <x:v>Production</x:v>
      </x:c>
      <x:c r="I150" s="10" t="n">
        <x:v>46172</x:v>
      </x:c>
      <x:c r="J150" t="n">
        <x:f>F150-ROUND(F150*0.97,2)</x:f>
        <x:v>39.0300000000002</x:v>
      </x:c>
    </x:row>
    <x:row r="151">
      <x:c r="A151" t="n">
        <x:v>150</x:v>
      </x:c>
      <x:c r="B151" t="str">
        <x:v>PN-03-00150</x:v>
      </x:c>
      <x:c r="C151" t="str">
        <x:v>Automation component 150 / 零件 150</x:v>
      </x:c>
      <x:c r="D151" s="8" t="n">
        <x:v>15</x:v>
      </x:c>
      <x:c r="E151" s="8" t="n">
        <x:v>94.29</x:v>
      </x:c>
      <x:c r="F151" s="8" t="n">
        <x:f>D151*E151</x:f>
        <x:v>1414.3500000000001</x:v>
      </x:c>
      <x:c r="G151" t="str">
        <x:v>Open</x:v>
      </x:c>
      <x:c r="H151" t="str">
        <x:v>Engineering</x:v>
      </x:c>
      <x:c r="I151" s="10" t="n">
        <x:v>46173</x:v>
      </x:c>
      <x:c r="J151" t="n">
        <x:f>F151-ROUND(F151*0.97,2)</x:f>
        <x:v>42.430000000000064</x:v>
      </x:c>
    </x:row>
    <x:row r="152">
      <x:c r="A152" t="n">
        <x:v>151</x:v>
      </x:c>
      <x:c r="B152" t="str">
        <x:v>PN-03-00151</x:v>
      </x:c>
      <x:c r="C152" t="str">
        <x:v>Automation component 151 / 零件 151</x:v>
      </x:c>
      <x:c r="D152" s="8" t="n">
        <x:v>16</x:v>
      </x:c>
      <x:c r="E152" s="8" t="n">
        <x:v>95.66</x:v>
      </x:c>
      <x:c r="F152" s="8" t="n">
        <x:f>D152*E152</x:f>
        <x:v>1530.56</x:v>
      </x:c>
      <x:c r="G152" t="str">
        <x:v>Approved</x:v>
      </x:c>
      <x:c r="H152" t="str">
        <x:v>Quality</x:v>
      </x:c>
      <x:c r="I152" s="10" t="n">
        <x:v>46174</x:v>
      </x:c>
      <x:c r="J152" t="n">
        <x:f>F152-ROUND(F152*0.97,2)</x:f>
        <x:v>45.919999999999845</x:v>
      </x:c>
    </x:row>
    <x:row r="153">
      <x:c r="A153" t="n">
        <x:v>152</x:v>
      </x:c>
      <x:c r="B153" t="str">
        <x:v>PN-03-00152</x:v>
      </x:c>
      <x:c r="C153" t="str">
        <x:v>Automation component 152 / 零件 152</x:v>
      </x:c>
      <x:c r="D153" s="8" t="n">
        <x:v>17</x:v>
      </x:c>
      <x:c r="E153" s="8" t="n">
        <x:v>97.03</x:v>
      </x:c>
      <x:c r="F153" s="8" t="n">
        <x:f>D153*E153</x:f>
        <x:v>1649.51</x:v>
      </x:c>
      <x:c r="G153" t="str">
        <x:v>Hold</x:v>
      </x:c>
      <x:c r="H153" t="str">
        <x:v>Production</x:v>
      </x:c>
      <x:c r="I153" s="10" t="n">
        <x:v>46175</x:v>
      </x:c>
      <x:c r="J153" t="n">
        <x:f>F153-ROUND(F153*0.97,2)</x:f>
        <x:v>49.49000000000001</x:v>
      </x:c>
    </x:row>
    <x:row r="154">
      <x:c r="A154" t="n">
        <x:v>153</x:v>
      </x:c>
      <x:c r="B154" t="str">
        <x:v>PN-03-00153</x:v>
      </x:c>
      <x:c r="C154" t="str">
        <x:v>Automation component 153 / 零件 153</x:v>
      </x:c>
      <x:c r="D154" s="8" t="n">
        <x:v>1</x:v>
      </x:c>
      <x:c r="E154" s="8" t="n">
        <x:v>98.4</x:v>
      </x:c>
      <x:c r="F154" s="8" t="n">
        <x:f>D154*E154</x:f>
        <x:v>98.4</x:v>
      </x:c>
      <x:c r="G154" t="str">
        <x:v>Open</x:v>
      </x:c>
      <x:c r="H154" t="str">
        <x:v>Engineering</x:v>
      </x:c>
      <x:c r="I154" s="10" t="n">
        <x:v>46176</x:v>
      </x:c>
      <x:c r="J154" t="n">
        <x:f>F154-ROUND(F154*0.97,2)</x:f>
        <x:v>2.950000000000003</x:v>
      </x:c>
    </x:row>
    <x:row r="155">
      <x:c r="A155" t="n">
        <x:v>154</x:v>
      </x:c>
      <x:c r="B155" t="str">
        <x:v>PN-03-00154</x:v>
      </x:c>
      <x:c r="C155" t="str">
        <x:v>Automation component 154 / 零件 154</x:v>
      </x:c>
      <x:c r="D155" s="8" t="n">
        <x:v>2</x:v>
      </x:c>
      <x:c r="E155" s="8" t="n">
        <x:v>99.77</x:v>
      </x:c>
      <x:c r="F155" s="8" t="n">
        <x:f>D155*E155</x:f>
        <x:v>199.54</x:v>
      </x:c>
      <x:c r="G155" t="str">
        <x:v>Approved</x:v>
      </x:c>
      <x:c r="H155" t="str">
        <x:v>Quality</x:v>
      </x:c>
      <x:c r="I155" s="10" t="n">
        <x:v>46177</x:v>
      </x:c>
      <x:c r="J155" t="n">
        <x:f>F155-ROUND(F155*0.97,2)</x:f>
        <x:v>5.989999999999981</x:v>
      </x:c>
    </x:row>
    <x:row r="156">
      <x:c r="A156" t="n">
        <x:v>155</x:v>
      </x:c>
      <x:c r="B156" t="str">
        <x:v>PN-03-00155</x:v>
      </x:c>
      <x:c r="C156" t="str">
        <x:v>Automation component 155 / 零件 155</x:v>
      </x:c>
      <x:c r="D156" s="8" t="n">
        <x:v>3</x:v>
      </x:c>
      <x:c r="E156" s="8" t="n">
        <x:v>101.14</x:v>
      </x:c>
      <x:c r="F156" s="8" t="n">
        <x:f>D156*E156</x:f>
        <x:v>303.42</x:v>
      </x:c>
      <x:c r="G156" t="str">
        <x:v>Hold</x:v>
      </x:c>
      <x:c r="H156" t="str">
        <x:v>Production</x:v>
      </x:c>
      <x:c r="I156" s="10" t="n">
        <x:v>46178</x:v>
      </x:c>
      <x:c r="J156" t="n">
        <x:f>F156-ROUND(F156*0.97,2)</x:f>
        <x:v>9.100000000000023</x:v>
      </x:c>
    </x:row>
    <x:row r="157">
      <x:c r="A157" t="n">
        <x:v>156</x:v>
      </x:c>
      <x:c r="B157" t="str">
        <x:v>PN-03-00156</x:v>
      </x:c>
      <x:c r="C157" t="str">
        <x:v>Automation component 156 / 零件 156</x:v>
      </x:c>
      <x:c r="D157" s="8" t="n">
        <x:v>4</x:v>
      </x:c>
      <x:c r="E157" s="8" t="n">
        <x:v>102.51</x:v>
      </x:c>
      <x:c r="F157" s="8" t="n">
        <x:f>D157*E157</x:f>
        <x:v>410.04</x:v>
      </x:c>
      <x:c r="G157" t="str">
        <x:v>Open</x:v>
      </x:c>
      <x:c r="H157" t="str">
        <x:v>Engineering</x:v>
      </x:c>
      <x:c r="I157" s="10" t="n">
        <x:v>46179</x:v>
      </x:c>
      <x:c r="J157" t="n">
        <x:f>F157-ROUND(F157*0.97,2)</x:f>
        <x:v>12.300000000000011</x:v>
      </x:c>
    </x:row>
    <x:row r="158">
      <x:c r="A158" t="n">
        <x:v>157</x:v>
      </x:c>
      <x:c r="B158" t="str">
        <x:v>PN-03-00157</x:v>
      </x:c>
      <x:c r="C158" t="str">
        <x:v>Automation component 157 / 零件 157</x:v>
      </x:c>
      <x:c r="D158" s="8" t="n">
        <x:v>5</x:v>
      </x:c>
      <x:c r="E158" s="8" t="n">
        <x:v>103.88</x:v>
      </x:c>
      <x:c r="F158" s="8" t="n">
        <x:f>D158*E158</x:f>
        <x:v>519.4</x:v>
      </x:c>
      <x:c r="G158" t="str">
        <x:v>Approved</x:v>
      </x:c>
      <x:c r="H158" t="str">
        <x:v>Quality</x:v>
      </x:c>
      <x:c r="I158" s="10" t="n">
        <x:v>46180</x:v>
      </x:c>
      <x:c r="J158" t="n">
        <x:f>F158-ROUND(F158*0.97,2)</x:f>
        <x:v>15.579999999999984</x:v>
      </x:c>
    </x:row>
    <x:row r="159">
      <x:c r="A159" t="n">
        <x:v>158</x:v>
      </x:c>
      <x:c r="B159" t="str">
        <x:v>PN-03-00158</x:v>
      </x:c>
      <x:c r="C159" t="str">
        <x:v>Automation component 158 / 零件 158</x:v>
      </x:c>
      <x:c r="D159" s="8" t="n">
        <x:v>6</x:v>
      </x:c>
      <x:c r="E159" s="8" t="n">
        <x:v>105.25</x:v>
      </x:c>
      <x:c r="F159" s="8" t="n">
        <x:f>D159*E159</x:f>
        <x:v>631.5</x:v>
      </x:c>
      <x:c r="G159" t="str">
        <x:v>Hold</x:v>
      </x:c>
      <x:c r="H159" t="str">
        <x:v>Production</x:v>
      </x:c>
      <x:c r="I159" s="10" t="n">
        <x:v>46181</x:v>
      </x:c>
      <x:c r="J159" t="n">
        <x:f>F159-ROUND(F159*0.97,2)</x:f>
        <x:v>18.950000000000045</x:v>
      </x:c>
    </x:row>
    <x:row r="160">
      <x:c r="A160" t="n">
        <x:v>159</x:v>
      </x:c>
      <x:c r="B160" t="str">
        <x:v>PN-03-00159</x:v>
      </x:c>
      <x:c r="C160" t="str">
        <x:v>Automation component 159 / 零件 159</x:v>
      </x:c>
      <x:c r="D160" s="8" t="n">
        <x:v>7</x:v>
      </x:c>
      <x:c r="E160" s="8" t="n">
        <x:v>106.62</x:v>
      </x:c>
      <x:c r="F160" s="8" t="n">
        <x:f>D160*E160</x:f>
        <x:v>746.34</x:v>
      </x:c>
      <x:c r="G160" t="str">
        <x:v>Open</x:v>
      </x:c>
      <x:c r="H160" t="str">
        <x:v>Engineering</x:v>
      </x:c>
      <x:c r="I160" s="10" t="n">
        <x:v>46182</x:v>
      </x:c>
      <x:c r="J160" t="n">
        <x:f>F160-ROUND(F160*0.97,2)</x:f>
        <x:v>22.389999999999986</x:v>
      </x:c>
    </x:row>
    <x:row r="161">
      <x:c r="A161" t="n">
        <x:v>160</x:v>
      </x:c>
      <x:c r="B161" t="str">
        <x:v>PN-03-00160</x:v>
      </x:c>
      <x:c r="C161" t="str">
        <x:v>Automation component 160 / 零件 160</x:v>
      </x:c>
      <x:c r="D161" s="8" t="n">
        <x:v>8</x:v>
      </x:c>
      <x:c r="E161" s="8" t="n">
        <x:v>107.99</x:v>
      </x:c>
      <x:c r="F161" s="8" t="n">
        <x:f>D161*E161</x:f>
        <x:v>863.92</x:v>
      </x:c>
      <x:c r="G161" t="str">
        <x:v>Approved</x:v>
      </x:c>
      <x:c r="H161" t="str">
        <x:v>Quality</x:v>
      </x:c>
      <x:c r="I161" s="10" t="n">
        <x:v>46183</x:v>
      </x:c>
      <x:c r="J161" t="n">
        <x:f>F161-ROUND(F161*0.97,2)</x:f>
        <x:v>25.91999999999996</x:v>
      </x:c>
    </x:row>
    <x:row r="162">
      <x:c r="A162" t="n">
        <x:v>161</x:v>
      </x:c>
      <x:c r="B162" t="str">
        <x:v>PN-03-00161</x:v>
      </x:c>
      <x:c r="C162" t="str">
        <x:v>Automation component 161 / 零件 161</x:v>
      </x:c>
      <x:c r="D162" s="8" t="n">
        <x:v>9</x:v>
      </x:c>
      <x:c r="E162" s="8" t="n">
        <x:v>109.36</x:v>
      </x:c>
      <x:c r="F162" s="8" t="n">
        <x:f>D162*E162</x:f>
        <x:v>984.24</x:v>
      </x:c>
      <x:c r="G162" t="str">
        <x:v>Hold</x:v>
      </x:c>
      <x:c r="H162" t="str">
        <x:v>Production</x:v>
      </x:c>
      <x:c r="I162" s="10" t="n">
        <x:v>46184</x:v>
      </x:c>
      <x:c r="J162" t="n">
        <x:f>F162-ROUND(F162*0.97,2)</x:f>
        <x:v>29.529999999999973</x:v>
      </x:c>
    </x:row>
    <x:row r="163">
      <x:c r="A163" t="n">
        <x:v>162</x:v>
      </x:c>
      <x:c r="B163" t="str">
        <x:v>PN-03-00162</x:v>
      </x:c>
      <x:c r="C163" t="str">
        <x:v>Automation component 162 / 零件 162</x:v>
      </x:c>
      <x:c r="D163" s="8" t="n">
        <x:v>10</x:v>
      </x:c>
      <x:c r="E163" s="8" t="n">
        <x:v>110.73</x:v>
      </x:c>
      <x:c r="F163" s="8" t="n">
        <x:f>D163*E163</x:f>
        <x:v>1107.3</x:v>
      </x:c>
      <x:c r="G163" t="str">
        <x:v>Open</x:v>
      </x:c>
      <x:c r="H163" t="str">
        <x:v>Engineering</x:v>
      </x:c>
      <x:c r="I163" s="10" t="n">
        <x:v>46185</x:v>
      </x:c>
      <x:c r="J163" t="n">
        <x:f>F163-ROUND(F163*0.97,2)</x:f>
        <x:v>33.22000000000003</x:v>
      </x:c>
    </x:row>
    <x:row r="164">
      <x:c r="A164" t="n">
        <x:v>163</x:v>
      </x:c>
      <x:c r="B164" t="str">
        <x:v>PN-03-00163</x:v>
      </x:c>
      <x:c r="C164" t="str">
        <x:v>Automation component 163 / 零件 163</x:v>
      </x:c>
      <x:c r="D164" s="8" t="n">
        <x:v>11</x:v>
      </x:c>
      <x:c r="E164" s="8" t="n">
        <x:v>112.1</x:v>
      </x:c>
      <x:c r="F164" s="8" t="n">
        <x:f>D164*E164</x:f>
        <x:v>1233.1</x:v>
      </x:c>
      <x:c r="G164" t="str">
        <x:v>Approved</x:v>
      </x:c>
      <x:c r="H164" t="str">
        <x:v>Quality</x:v>
      </x:c>
      <x:c r="I164" s="10" t="n">
        <x:v>46186</x:v>
      </x:c>
      <x:c r="J164" t="n">
        <x:f>F164-ROUND(F164*0.97,2)</x:f>
        <x:v>36.99000000000001</x:v>
      </x:c>
    </x:row>
    <x:row r="165">
      <x:c r="A165" t="n">
        <x:v>164</x:v>
      </x:c>
      <x:c r="B165" t="str">
        <x:v>PN-03-00164</x:v>
      </x:c>
      <x:c r="C165" t="str">
        <x:v>Automation component 164 / 零件 164</x:v>
      </x:c>
      <x:c r="D165" s="8" t="n">
        <x:v>12</x:v>
      </x:c>
      <x:c r="E165" s="8" t="n">
        <x:v>113.47</x:v>
      </x:c>
      <x:c r="F165" s="8" t="n">
        <x:f>D165*E165</x:f>
        <x:v>1361.6399999999999</x:v>
      </x:c>
      <x:c r="G165" t="str">
        <x:v>Hold</x:v>
      </x:c>
      <x:c r="H165" t="str">
        <x:v>Production</x:v>
      </x:c>
      <x:c r="I165" s="10" t="n">
        <x:v>46187</x:v>
      </x:c>
      <x:c r="J165" t="n">
        <x:f>F165-ROUND(F165*0.97,2)</x:f>
        <x:v>40.84999999999991</x:v>
      </x:c>
    </x:row>
    <x:row r="166">
      <x:c r="A166" t="n">
        <x:v>165</x:v>
      </x:c>
      <x:c r="B166" t="str">
        <x:v>PN-03-00165</x:v>
      </x:c>
      <x:c r="C166" t="str">
        <x:v>Automation component 165 / 零件 165</x:v>
      </x:c>
      <x:c r="D166" s="8" t="n">
        <x:v>13</x:v>
      </x:c>
      <x:c r="E166" s="8" t="n">
        <x:v>114.84</x:v>
      </x:c>
      <x:c r="F166" s="8" t="n">
        <x:f>D166*E166</x:f>
        <x:v>1492.92</x:v>
      </x:c>
      <x:c r="G166" t="str">
        <x:v>Open</x:v>
      </x:c>
      <x:c r="H166" t="str">
        <x:v>Engineering</x:v>
      </x:c>
      <x:c r="I166" s="10" t="n">
        <x:v>46188</x:v>
      </x:c>
      <x:c r="J166" t="n">
        <x:f>F166-ROUND(F166*0.97,2)</x:f>
        <x:v>44.789999999999964</x:v>
      </x:c>
    </x:row>
    <x:row r="167">
      <x:c r="A167" t="n">
        <x:v>166</x:v>
      </x:c>
      <x:c r="B167" t="str">
        <x:v>PN-03-00166</x:v>
      </x:c>
      <x:c r="C167" t="str">
        <x:v>Automation component 166 / 零件 166</x:v>
      </x:c>
      <x:c r="D167" s="8" t="n">
        <x:v>14</x:v>
      </x:c>
      <x:c r="E167" s="8" t="n">
        <x:v>2.5</x:v>
      </x:c>
      <x:c r="F167" s="8" t="n">
        <x:f>D167*E167</x:f>
        <x:v>35</x:v>
      </x:c>
      <x:c r="G167" t="str">
        <x:v>Approved</x:v>
      </x:c>
      <x:c r="H167" t="str">
        <x:v>Quality</x:v>
      </x:c>
      <x:c r="I167" s="10" t="n">
        <x:v>46189</x:v>
      </x:c>
      <x:c r="J167" t="n">
        <x:f>F167-ROUND(F167*0.97,2)</x:f>
        <x:v>1.0499999999999972</x:v>
      </x:c>
    </x:row>
    <x:row r="168">
      <x:c r="A168" t="n">
        <x:v>167</x:v>
      </x:c>
      <x:c r="B168" t="str">
        <x:v>PN-03-00167</x:v>
      </x:c>
      <x:c r="C168" t="str">
        <x:v>Automation component 167 / 零件 167</x:v>
      </x:c>
      <x:c r="D168" s="8" t="n">
        <x:v>15</x:v>
      </x:c>
      <x:c r="E168" s="8" t="n">
        <x:v>3.87</x:v>
      </x:c>
      <x:c r="F168" s="8" t="n">
        <x:f>D168*E168</x:f>
        <x:v>58.050000000000004</x:v>
      </x:c>
      <x:c r="G168" t="str">
        <x:v>Hold</x:v>
      </x:c>
      <x:c r="H168" t="str">
        <x:v>Production</x:v>
      </x:c>
      <x:c r="I168" s="10" t="n">
        <x:v>46190</x:v>
      </x:c>
      <x:c r="J168" t="n">
        <x:f>F168-ROUND(F168*0.97,2)</x:f>
        <x:v>1.740000000000002</x:v>
      </x:c>
    </x:row>
    <x:row r="169">
      <x:c r="A169" t="n">
        <x:v>168</x:v>
      </x:c>
      <x:c r="B169" t="str">
        <x:v>PN-03-00168</x:v>
      </x:c>
      <x:c r="C169" t="str">
        <x:v>Automation component 168 / 零件 168</x:v>
      </x:c>
      <x:c r="D169" s="8" t="n">
        <x:v>16</x:v>
      </x:c>
      <x:c r="E169" s="8" t="n">
        <x:v>5.24</x:v>
      </x:c>
      <x:c r="F169" s="8" t="n">
        <x:f>D169*E169</x:f>
        <x:v>83.84</x:v>
      </x:c>
      <x:c r="G169" t="str">
        <x:v>Open</x:v>
      </x:c>
      <x:c r="H169" t="str">
        <x:v>Engineering</x:v>
      </x:c>
      <x:c r="I169" s="10" t="n">
        <x:v>46191</x:v>
      </x:c>
      <x:c r="J169" t="n">
        <x:f>F169-ROUND(F169*0.97,2)</x:f>
        <x:v>2.5200000000000102</x:v>
      </x:c>
    </x:row>
    <x:row r="170">
      <x:c r="A170" t="n">
        <x:v>169</x:v>
      </x:c>
      <x:c r="B170" t="str">
        <x:v>PN-03-00169</x:v>
      </x:c>
      <x:c r="C170" t="str">
        <x:v>Automation component 169 / 零件 169</x:v>
      </x:c>
      <x:c r="D170" s="8" t="n">
        <x:v>17</x:v>
      </x:c>
      <x:c r="E170" s="8" t="n">
        <x:v>6.61</x:v>
      </x:c>
      <x:c r="F170" s="8" t="n">
        <x:f>D170*E170</x:f>
        <x:v>112.37</x:v>
      </x:c>
      <x:c r="G170" t="str">
        <x:v>Approved</x:v>
      </x:c>
      <x:c r="H170" t="str">
        <x:v>Quality</x:v>
      </x:c>
      <x:c r="I170" s="10" t="n">
        <x:v>46192</x:v>
      </x:c>
      <x:c r="J170" t="n">
        <x:f>F170-ROUND(F170*0.97,2)</x:f>
        <x:v>3.3700000000000045</x:v>
      </x:c>
    </x:row>
    <x:row r="171">
      <x:c r="A171" t="n">
        <x:v>170</x:v>
      </x:c>
      <x:c r="B171" t="str">
        <x:v>PN-03-00170</x:v>
      </x:c>
      <x:c r="C171" t="str">
        <x:v>Automation component 170 / 零件 170</x:v>
      </x:c>
      <x:c r="D171" s="8" t="n">
        <x:v>1</x:v>
      </x:c>
      <x:c r="E171" s="8" t="n">
        <x:v>7.98</x:v>
      </x:c>
      <x:c r="F171" s="8" t="n">
        <x:f>D171*E171</x:f>
        <x:v>7.98</x:v>
      </x:c>
      <x:c r="G171" t="str">
        <x:v>Hold</x:v>
      </x:c>
      <x:c r="H171" t="str">
        <x:v>Production</x:v>
      </x:c>
      <x:c r="I171" s="10" t="n">
        <x:v>46193</x:v>
      </x:c>
      <x:c r="J171" t="n">
        <x:f>F171-ROUND(F171*0.97,2)</x:f>
        <x:v>0.2400000000000002</x:v>
      </x:c>
    </x:row>
    <x:row r="172">
      <x:c r="A172" t="n">
        <x:v>171</x:v>
      </x:c>
      <x:c r="B172" t="str">
        <x:v>PN-03-00171</x:v>
      </x:c>
      <x:c r="C172" t="str">
        <x:v>Automation component 171 / 零件 171</x:v>
      </x:c>
      <x:c r="D172" s="8" t="n">
        <x:v>2</x:v>
      </x:c>
      <x:c r="E172" s="8" t="n">
        <x:v>9.35</x:v>
      </x:c>
      <x:c r="F172" s="8" t="n">
        <x:f>D172*E172</x:f>
        <x:v>18.7</x:v>
      </x:c>
      <x:c r="G172" t="str">
        <x:v>Open</x:v>
      </x:c>
      <x:c r="H172" t="str">
        <x:v>Engineering</x:v>
      </x:c>
      <x:c r="I172" s="10" t="n">
        <x:v>46194</x:v>
      </x:c>
      <x:c r="J172" t="n">
        <x:f>F172-ROUND(F172*0.97,2)</x:f>
        <x:v>0.5599999999999987</x:v>
      </x:c>
    </x:row>
    <x:row r="173">
      <x:c r="A173" t="n">
        <x:v>172</x:v>
      </x:c>
      <x:c r="B173" t="str">
        <x:v>PN-03-00172</x:v>
      </x:c>
      <x:c r="C173" t="str">
        <x:v>Automation component 172 / 零件 172</x:v>
      </x:c>
      <x:c r="D173" s="8" t="n">
        <x:v>3</x:v>
      </x:c>
      <x:c r="E173" s="8" t="n">
        <x:v>10.72</x:v>
      </x:c>
      <x:c r="F173" s="8" t="n">
        <x:f>D173*E173</x:f>
        <x:v>32.160000000000004</x:v>
      </x:c>
      <x:c r="G173" t="str">
        <x:v>Approved</x:v>
      </x:c>
      <x:c r="H173" t="str">
        <x:v>Quality</x:v>
      </x:c>
      <x:c r="I173" s="10" t="n">
        <x:v>46195</x:v>
      </x:c>
      <x:c r="J173" t="n">
        <x:f>F173-ROUND(F173*0.97,2)</x:f>
        <x:v>0.9600000000000044</x:v>
      </x:c>
    </x:row>
    <x:row r="174">
      <x:c r="A174" t="n">
        <x:v>173</x:v>
      </x:c>
      <x:c r="B174" t="str">
        <x:v>PN-03-00173</x:v>
      </x:c>
      <x:c r="C174" t="str">
        <x:v>Automation component 173 / 零件 173</x:v>
      </x:c>
      <x:c r="D174" s="8" t="n">
        <x:v>4</x:v>
      </x:c>
      <x:c r="E174" s="8" t="n">
        <x:v>12.09</x:v>
      </x:c>
      <x:c r="F174" s="8" t="n">
        <x:f>D174*E174</x:f>
        <x:v>48.36</x:v>
      </x:c>
      <x:c r="G174" t="str">
        <x:v>Hold</x:v>
      </x:c>
      <x:c r="H174" t="str">
        <x:v>Production</x:v>
      </x:c>
      <x:c r="I174" s="10" t="n">
        <x:v>46196</x:v>
      </x:c>
      <x:c r="J174" t="n">
        <x:f>F174-ROUND(F174*0.97,2)</x:f>
        <x:v>1.4500000000000028</x:v>
      </x:c>
    </x:row>
    <x:row r="175">
      <x:c r="A175" t="n">
        <x:v>174</x:v>
      </x:c>
      <x:c r="B175" t="str">
        <x:v>PN-03-00174</x:v>
      </x:c>
      <x:c r="C175" t="str">
        <x:v>Automation component 174 / 零件 174</x:v>
      </x:c>
      <x:c r="D175" s="8" t="n">
        <x:v>5</x:v>
      </x:c>
      <x:c r="E175" s="8" t="n">
        <x:v>13.46</x:v>
      </x:c>
      <x:c r="F175" s="8" t="n">
        <x:f>D175*E175</x:f>
        <x:v>67.30000000000001</x:v>
      </x:c>
      <x:c r="G175" t="str">
        <x:v>Open</x:v>
      </x:c>
      <x:c r="H175" t="str">
        <x:v>Engineering</x:v>
      </x:c>
      <x:c r="I175" s="10" t="n">
        <x:v>46197</x:v>
      </x:c>
      <x:c r="J175" t="n">
        <x:f>F175-ROUND(F175*0.97,2)</x:f>
        <x:v>2.0200000000000102</x:v>
      </x:c>
    </x:row>
    <x:row r="176">
      <x:c r="A176" t="n">
        <x:v>175</x:v>
      </x:c>
      <x:c r="B176" t="str">
        <x:v>PN-03-00175</x:v>
      </x:c>
      <x:c r="C176" t="str">
        <x:v>Automation component 175 / 零件 175</x:v>
      </x:c>
      <x:c r="D176" s="8" t="n">
        <x:v>6</x:v>
      </x:c>
      <x:c r="E176" s="8" t="n">
        <x:v>14.83</x:v>
      </x:c>
      <x:c r="F176" s="8" t="n">
        <x:f>D176*E176</x:f>
        <x:v>88.98</x:v>
      </x:c>
      <x:c r="G176" t="str">
        <x:v>Approved</x:v>
      </x:c>
      <x:c r="H176" t="str">
        <x:v>Quality</x:v>
      </x:c>
      <x:c r="I176" s="10" t="n">
        <x:v>46198</x:v>
      </x:c>
      <x:c r="J176" t="n">
        <x:f>F176-ROUND(F176*0.97,2)</x:f>
        <x:v>2.6700000000000017</x:v>
      </x:c>
    </x:row>
    <x:row r="177">
      <x:c r="A177" t="n">
        <x:v>176</x:v>
      </x:c>
      <x:c r="B177" t="str">
        <x:v>PN-03-00176</x:v>
      </x:c>
      <x:c r="C177" t="str">
        <x:v>Automation component 176 / 零件 176</x:v>
      </x:c>
      <x:c r="D177" s="8" t="n">
        <x:v>7</x:v>
      </x:c>
      <x:c r="E177" s="8" t="n">
        <x:v>16.2</x:v>
      </x:c>
      <x:c r="F177" s="8" t="n">
        <x:f>D177*E177</x:f>
        <x:v>113.39999999999999</x:v>
      </x:c>
      <x:c r="G177" t="str">
        <x:v>Hold</x:v>
      </x:c>
      <x:c r="H177" t="str">
        <x:v>Production</x:v>
      </x:c>
      <x:c r="I177" s="10" t="n">
        <x:v>46199</x:v>
      </x:c>
      <x:c r="J177" t="n">
        <x:f>F177-ROUND(F177*0.97,2)</x:f>
        <x:v>3.3999999999999915</x:v>
      </x:c>
    </x:row>
    <x:row r="178">
      <x:c r="A178" t="n">
        <x:v>177</x:v>
      </x:c>
      <x:c r="B178" t="str">
        <x:v>PN-03-00177</x:v>
      </x:c>
      <x:c r="C178" t="str">
        <x:v>Automation component 177 / 零件 177</x:v>
      </x:c>
      <x:c r="D178" s="8" t="n">
        <x:v>8</x:v>
      </x:c>
      <x:c r="E178" s="8" t="n">
        <x:v>17.57</x:v>
      </x:c>
      <x:c r="F178" s="8" t="n">
        <x:f>D178*E178</x:f>
        <x:v>140.56</x:v>
      </x:c>
      <x:c r="G178" t="str">
        <x:v>Open</x:v>
      </x:c>
      <x:c r="H178" t="str">
        <x:v>Engineering</x:v>
      </x:c>
      <x:c r="I178" s="10" t="n">
        <x:v>46200</x:v>
      </x:c>
      <x:c r="J178" t="n">
        <x:f>F178-ROUND(F178*0.97,2)</x:f>
        <x:v>4.219999999999999</x:v>
      </x:c>
    </x:row>
    <x:row r="179">
      <x:c r="A179" t="n">
        <x:v>178</x:v>
      </x:c>
      <x:c r="B179" t="str">
        <x:v>PN-03-00178</x:v>
      </x:c>
      <x:c r="C179" t="str">
        <x:v>Automation component 178 / 零件 178</x:v>
      </x:c>
      <x:c r="D179" s="8" t="n">
        <x:v>9</x:v>
      </x:c>
      <x:c r="E179" s="8" t="n">
        <x:v>18.94</x:v>
      </x:c>
      <x:c r="F179" s="8" t="n">
        <x:f>D179*E179</x:f>
        <x:v>170.46</x:v>
      </x:c>
      <x:c r="G179" t="str">
        <x:v>Approved</x:v>
      </x:c>
      <x:c r="H179" t="str">
        <x:v>Quality</x:v>
      </x:c>
      <x:c r="I179" s="10" t="n">
        <x:v>46201</x:v>
      </x:c>
      <x:c r="J179" t="n">
        <x:f>F179-ROUND(F179*0.97,2)</x:f>
        <x:v>5.110000000000014</x:v>
      </x:c>
    </x:row>
    <x:row r="180">
      <x:c r="A180" t="n">
        <x:v>179</x:v>
      </x:c>
      <x:c r="B180" t="str">
        <x:v>PN-03-00179</x:v>
      </x:c>
      <x:c r="C180" t="str">
        <x:v>Automation component 179 / 零件 179</x:v>
      </x:c>
      <x:c r="D180" s="8" t="n">
        <x:v>10</x:v>
      </x:c>
      <x:c r="E180" s="8" t="n">
        <x:v>20.31</x:v>
      </x:c>
      <x:c r="F180" s="8" t="n">
        <x:f>D180*E180</x:f>
        <x:v>203.1</x:v>
      </x:c>
      <x:c r="G180" t="str">
        <x:v>Hold</x:v>
      </x:c>
      <x:c r="H180" t="str">
        <x:v>Production</x:v>
      </x:c>
      <x:c r="I180" s="10" t="n">
        <x:v>46202</x:v>
      </x:c>
      <x:c r="J180" t="n">
        <x:f>F180-ROUND(F180*0.97,2)</x:f>
        <x:v>6.090000000000003</x:v>
      </x:c>
    </x:row>
    <x:row r="181">
      <x:c r="A181" t="n">
        <x:v>180</x:v>
      </x:c>
      <x:c r="B181" t="str">
        <x:v>PN-03-00180</x:v>
      </x:c>
      <x:c r="C181" t="str">
        <x:v>Automation component 180 / 零件 180</x:v>
      </x:c>
      <x:c r="D181" s="8" t="n">
        <x:v>11</x:v>
      </x:c>
      <x:c r="E181" s="8" t="n">
        <x:v>21.68</x:v>
      </x:c>
      <x:c r="F181" s="8" t="n">
        <x:f>D181*E181</x:f>
        <x:v>238.48</x:v>
      </x:c>
      <x:c r="G181" t="str">
        <x:v>Open</x:v>
      </x:c>
      <x:c r="H181" t="str">
        <x:v>Engineering</x:v>
      </x:c>
      <x:c r="I181" s="10" t="n">
        <x:v>46203</x:v>
      </x:c>
      <x:c r="J181" t="n">
        <x:f>F181-ROUND(F181*0.97,2)</x:f>
        <x:v>7.149999999999977</x:v>
      </x:c>
    </x:row>
    <x:row r="182">
      <x:c r="A182" t="n">
        <x:v>181</x:v>
      </x:c>
      <x:c r="B182" t="str">
        <x:v>PN-03-00181</x:v>
      </x:c>
      <x:c r="C182" t="str">
        <x:v>Automation component 181 / 零件 181</x:v>
      </x:c>
      <x:c r="D182" s="8" t="n">
        <x:v>12</x:v>
      </x:c>
      <x:c r="E182" s="8" t="n">
        <x:v>23.05</x:v>
      </x:c>
      <x:c r="F182" s="8" t="n">
        <x:f>D182*E182</x:f>
        <x:v>276.6</x:v>
      </x:c>
      <x:c r="G182" t="str">
        <x:v>Approved</x:v>
      </x:c>
      <x:c r="H182" t="str">
        <x:v>Quality</x:v>
      </x:c>
      <x:c r="I182" s="10" t="n">
        <x:v>46204</x:v>
      </x:c>
      <x:c r="J182" t="n">
        <x:f>F182-ROUND(F182*0.97,2)</x:f>
        <x:v>8.300000000000011</x:v>
      </x:c>
    </x:row>
    <x:row r="183">
      <x:c r="A183" t="n">
        <x:v>182</x:v>
      </x:c>
      <x:c r="B183" t="str">
        <x:v>PN-03-00182</x:v>
      </x:c>
      <x:c r="C183" t="str">
        <x:v>Automation component 182 / 零件 182</x:v>
      </x:c>
      <x:c r="D183" s="8" t="n">
        <x:v>13</x:v>
      </x:c>
      <x:c r="E183" s="8" t="n">
        <x:v>24.42</x:v>
      </x:c>
      <x:c r="F183" s="8" t="n">
        <x:f>D183*E183</x:f>
        <x:v>317.46000000000004</x:v>
      </x:c>
      <x:c r="G183" t="str">
        <x:v>Hold</x:v>
      </x:c>
      <x:c r="H183" t="str">
        <x:v>Production</x:v>
      </x:c>
      <x:c r="I183" s="10" t="n">
        <x:v>46205</x:v>
      </x:c>
      <x:c r="J183" t="n">
        <x:f>F183-ROUND(F183*0.97,2)</x:f>
        <x:v>9.520000000000039</x:v>
      </x:c>
    </x:row>
    <x:row r="184">
      <x:c r="A184" t="n">
        <x:v>183</x:v>
      </x:c>
      <x:c r="B184" t="str">
        <x:v>PN-03-00183</x:v>
      </x:c>
      <x:c r="C184" t="str">
        <x:v>Automation component 183 / 零件 183</x:v>
      </x:c>
      <x:c r="D184" s="8" t="n">
        <x:v>14</x:v>
      </x:c>
      <x:c r="E184" s="8" t="n">
        <x:v>25.79</x:v>
      </x:c>
      <x:c r="F184" s="8" t="n">
        <x:f>D184*E184</x:f>
        <x:v>361.06</x:v>
      </x:c>
      <x:c r="G184" t="str">
        <x:v>Open</x:v>
      </x:c>
      <x:c r="H184" t="str">
        <x:v>Engineering</x:v>
      </x:c>
      <x:c r="I184" s="10" t="n">
        <x:v>46206</x:v>
      </x:c>
      <x:c r="J184" t="n">
        <x:f>F184-ROUND(F184*0.97,2)</x:f>
        <x:v>10.829999999999984</x:v>
      </x:c>
    </x:row>
    <x:row r="185">
      <x:c r="A185" t="n">
        <x:v>184</x:v>
      </x:c>
      <x:c r="B185" t="str">
        <x:v>PN-03-00184</x:v>
      </x:c>
      <x:c r="C185" t="str">
        <x:v>Automation component 184 / 零件 184</x:v>
      </x:c>
      <x:c r="D185" s="8" t="n">
        <x:v>15</x:v>
      </x:c>
      <x:c r="E185" s="8" t="n">
        <x:v>27.16</x:v>
      </x:c>
      <x:c r="F185" s="8" t="n">
        <x:f>D185*E185</x:f>
        <x:v>407.4</x:v>
      </x:c>
      <x:c r="G185" t="str">
        <x:v>Approved</x:v>
      </x:c>
      <x:c r="H185" t="str">
        <x:v>Quality</x:v>
      </x:c>
      <x:c r="I185" s="10" t="n">
        <x:v>46207</x:v>
      </x:c>
      <x:c r="J185" t="n">
        <x:f>F185-ROUND(F185*0.97,2)</x:f>
        <x:v>12.21999999999997</x:v>
      </x:c>
    </x:row>
    <x:row r="186">
      <x:c r="A186" t="n">
        <x:v>185</x:v>
      </x:c>
      <x:c r="B186" t="str">
        <x:v>PN-03-00185</x:v>
      </x:c>
      <x:c r="C186" t="str">
        <x:v>Automation component 185 / 零件 185</x:v>
      </x:c>
      <x:c r="D186" s="8" t="n">
        <x:v>16</x:v>
      </x:c>
      <x:c r="E186" s="8" t="n">
        <x:v>28.53</x:v>
      </x:c>
      <x:c r="F186" s="8" t="n">
        <x:f>D186*E186</x:f>
        <x:v>456.48</x:v>
      </x:c>
      <x:c r="G186" t="str">
        <x:v>Hold</x:v>
      </x:c>
      <x:c r="H186" t="str">
        <x:v>Production</x:v>
      </x:c>
      <x:c r="I186" s="10" t="n">
        <x:v>46208</x:v>
      </x:c>
      <x:c r="J186" t="n">
        <x:f>F186-ROUND(F186*0.97,2)</x:f>
        <x:v>13.689999999999998</x:v>
      </x:c>
    </x:row>
    <x:row r="187">
      <x:c r="A187" t="n">
        <x:v>186</x:v>
      </x:c>
      <x:c r="B187" t="str">
        <x:v>PN-03-00186</x:v>
      </x:c>
      <x:c r="C187" t="str">
        <x:v>Automation component 186 / 零件 186</x:v>
      </x:c>
      <x:c r="D187" s="8" t="n">
        <x:v>17</x:v>
      </x:c>
      <x:c r="E187" s="8" t="n">
        <x:v>29.9</x:v>
      </x:c>
      <x:c r="F187" s="8" t="n">
        <x:f>D187*E187</x:f>
        <x:v>508.29999999999995</x:v>
      </x:c>
      <x:c r="G187" t="str">
        <x:v>Open</x:v>
      </x:c>
      <x:c r="H187" t="str">
        <x:v>Engineering</x:v>
      </x:c>
      <x:c r="I187" s="10" t="n">
        <x:v>46209</x:v>
      </x:c>
      <x:c r="J187" t="n">
        <x:f>F187-ROUND(F187*0.97,2)</x:f>
        <x:v>15.249999999999943</x:v>
      </x:c>
    </x:row>
    <x:row r="188">
      <x:c r="A188" t="n">
        <x:v>187</x:v>
      </x:c>
      <x:c r="B188" t="str">
        <x:v>PN-03-00187</x:v>
      </x:c>
      <x:c r="C188" t="str">
        <x:v>Automation component 187 / 零件 187</x:v>
      </x:c>
      <x:c r="D188" s="8" t="n">
        <x:v>1</x:v>
      </x:c>
      <x:c r="E188" s="8" t="n">
        <x:v>31.27</x:v>
      </x:c>
      <x:c r="F188" s="8" t="n">
        <x:f>D188*E188</x:f>
        <x:v>31.27</x:v>
      </x:c>
      <x:c r="G188" t="str">
        <x:v>Approved</x:v>
      </x:c>
      <x:c r="H188" t="str">
        <x:v>Quality</x:v>
      </x:c>
      <x:c r="I188" s="10" t="n">
        <x:v>46210</x:v>
      </x:c>
      <x:c r="J188" t="n">
        <x:f>F188-ROUND(F188*0.97,2)</x:f>
        <x:v>0.9400000000000013</x:v>
      </x:c>
    </x:row>
    <x:row r="189">
      <x:c r="A189" t="n">
        <x:v>188</x:v>
      </x:c>
      <x:c r="B189" t="str">
        <x:v>PN-03-00188</x:v>
      </x:c>
      <x:c r="C189" t="str">
        <x:v>Automation component 188 / 零件 188</x:v>
      </x:c>
      <x:c r="D189" s="8" t="n">
        <x:v>2</x:v>
      </x:c>
      <x:c r="E189" s="8" t="n">
        <x:v>32.64</x:v>
      </x:c>
      <x:c r="F189" s="8" t="n">
        <x:f>D189*E189</x:f>
        <x:v>65.28</x:v>
      </x:c>
      <x:c r="G189" t="str">
        <x:v>Hold</x:v>
      </x:c>
      <x:c r="H189" t="str">
        <x:v>Production</x:v>
      </x:c>
      <x:c r="I189" s="10" t="n">
        <x:v>46211</x:v>
      </x:c>
      <x:c r="J189" t="n">
        <x:f>F189-ROUND(F189*0.97,2)</x:f>
        <x:v>1.9600000000000009</x:v>
      </x:c>
    </x:row>
    <x:row r="190">
      <x:c r="A190" t="n">
        <x:v>189</x:v>
      </x:c>
      <x:c r="B190" t="str">
        <x:v>PN-03-00189</x:v>
      </x:c>
      <x:c r="C190" t="str">
        <x:v>Automation component 189 / 零件 189</x:v>
      </x:c>
      <x:c r="D190" s="8" t="n">
        <x:v>3</x:v>
      </x:c>
      <x:c r="E190" s="8" t="n">
        <x:v>34.01</x:v>
      </x:c>
      <x:c r="F190" s="8" t="n">
        <x:f>D190*E190</x:f>
        <x:v>102.03</x:v>
      </x:c>
      <x:c r="G190" t="str">
        <x:v>Open</x:v>
      </x:c>
      <x:c r="H190" t="str">
        <x:v>Engineering</x:v>
      </x:c>
      <x:c r="I190" s="10" t="n">
        <x:v>46212</x:v>
      </x:c>
      <x:c r="J190" t="n">
        <x:f>F190-ROUND(F190*0.97,2)</x:f>
        <x:v>3.0600000000000023</x:v>
      </x:c>
    </x:row>
    <x:row r="191">
      <x:c r="A191" t="n">
        <x:v>190</x:v>
      </x:c>
      <x:c r="B191" t="str">
        <x:v>PN-03-00190</x:v>
      </x:c>
      <x:c r="C191" t="str">
        <x:v>Automation component 190 / 零件 190</x:v>
      </x:c>
      <x:c r="D191" s="8" t="n">
        <x:v>4</x:v>
      </x:c>
      <x:c r="E191" s="8" t="n">
        <x:v>35.38</x:v>
      </x:c>
      <x:c r="F191" s="8" t="n">
        <x:f>D191*E191</x:f>
        <x:v>141.52</x:v>
      </x:c>
      <x:c r="G191" t="str">
        <x:v>Approved</x:v>
      </x:c>
      <x:c r="H191" t="str">
        <x:v>Quality</x:v>
      </x:c>
      <x:c r="I191" s="10" t="n">
        <x:v>46213</x:v>
      </x:c>
      <x:c r="J191" t="n">
        <x:f>F191-ROUND(F191*0.97,2)</x:f>
        <x:v>4.25</x:v>
      </x:c>
    </x:row>
    <x:row r="192">
      <x:c r="A192" t="n">
        <x:v>191</x:v>
      </x:c>
      <x:c r="B192" t="str">
        <x:v>PN-03-00191</x:v>
      </x:c>
      <x:c r="C192" t="str">
        <x:v>Automation component 191 / 零件 191</x:v>
      </x:c>
      <x:c r="D192" s="8" t="n">
        <x:v>5</x:v>
      </x:c>
      <x:c r="E192" s="8" t="n">
        <x:v>36.75</x:v>
      </x:c>
      <x:c r="F192" s="8" t="n">
        <x:f>D192*E192</x:f>
        <x:v>183.75</x:v>
      </x:c>
      <x:c r="G192" t="str">
        <x:v>Hold</x:v>
      </x:c>
      <x:c r="H192" t="str">
        <x:v>Production</x:v>
      </x:c>
      <x:c r="I192" s="10" t="n">
        <x:v>46214</x:v>
      </x:c>
      <x:c r="J192" t="n">
        <x:f>F192-ROUND(F192*0.97,2)</x:f>
        <x:v>5.509999999999991</x:v>
      </x:c>
    </x:row>
    <x:row r="193">
      <x:c r="A193" t="n">
        <x:v>192</x:v>
      </x:c>
      <x:c r="B193" t="str">
        <x:v>PN-03-00192</x:v>
      </x:c>
      <x:c r="C193" t="str">
        <x:v>Automation component 192 / 零件 192</x:v>
      </x:c>
      <x:c r="D193" s="8" t="n">
        <x:v>6</x:v>
      </x:c>
      <x:c r="E193" s="8" t="n">
        <x:v>38.12</x:v>
      </x:c>
      <x:c r="F193" s="8" t="n">
        <x:f>D193*E193</x:f>
        <x:v>228.71999999999997</x:v>
      </x:c>
      <x:c r="G193" t="str">
        <x:v>Open</x:v>
      </x:c>
      <x:c r="H193" t="str">
        <x:v>Engineering</x:v>
      </x:c>
      <x:c r="I193" s="10" t="n">
        <x:v>46215</x:v>
      </x:c>
      <x:c r="J193" t="n">
        <x:f>F193-ROUND(F193*0.97,2)</x:f>
        <x:v>6.859999999999957</x:v>
      </x:c>
    </x:row>
    <x:row r="194">
      <x:c r="A194" t="n">
        <x:v>193</x:v>
      </x:c>
      <x:c r="B194" t="str">
        <x:v>PN-03-00193</x:v>
      </x:c>
      <x:c r="C194" t="str">
        <x:v>Automation component 193 / 零件 193</x:v>
      </x:c>
      <x:c r="D194" s="8" t="n">
        <x:v>7</x:v>
      </x:c>
      <x:c r="E194" s="8" t="n">
        <x:v>39.49</x:v>
      </x:c>
      <x:c r="F194" s="8" t="n">
        <x:f>D194*E194</x:f>
        <x:v>276.43</x:v>
      </x:c>
      <x:c r="G194" t="str">
        <x:v>Approved</x:v>
      </x:c>
      <x:c r="H194" t="str">
        <x:v>Quality</x:v>
      </x:c>
      <x:c r="I194" s="10" t="n">
        <x:v>46216</x:v>
      </x:c>
      <x:c r="J194" t="n">
        <x:f>F194-ROUND(F194*0.97,2)</x:f>
        <x:v>8.29000000000002</x:v>
      </x:c>
    </x:row>
    <x:row r="195">
      <x:c r="A195" t="n">
        <x:v>194</x:v>
      </x:c>
      <x:c r="B195" t="str">
        <x:v>PN-03-00194</x:v>
      </x:c>
      <x:c r="C195" t="str">
        <x:v>Automation component 194 / 零件 194</x:v>
      </x:c>
      <x:c r="D195" s="8" t="n">
        <x:v>8</x:v>
      </x:c>
      <x:c r="E195" s="8" t="n">
        <x:v>40.86</x:v>
      </x:c>
      <x:c r="F195" s="8" t="n">
        <x:f>D195*E195</x:f>
        <x:v>326.88</x:v>
      </x:c>
      <x:c r="G195" t="str">
        <x:v>Hold</x:v>
      </x:c>
      <x:c r="H195" t="str">
        <x:v>Production</x:v>
      </x:c>
      <x:c r="I195" s="10" t="n">
        <x:v>46217</x:v>
      </x:c>
      <x:c r="J195" t="n">
        <x:f>F195-ROUND(F195*0.97,2)</x:f>
        <x:v>9.810000000000002</x:v>
      </x:c>
    </x:row>
    <x:row r="196">
      <x:c r="A196" t="n">
        <x:v>195</x:v>
      </x:c>
      <x:c r="B196" t="str">
        <x:v>PN-03-00195</x:v>
      </x:c>
      <x:c r="C196" t="str">
        <x:v>Automation component 195 / 零件 195</x:v>
      </x:c>
      <x:c r="D196" s="8" t="n">
        <x:v>9</x:v>
      </x:c>
      <x:c r="E196" s="8" t="n">
        <x:v>42.23</x:v>
      </x:c>
      <x:c r="F196" s="8" t="n">
        <x:f>D196*E196</x:f>
        <x:v>380.07</x:v>
      </x:c>
      <x:c r="G196" t="str">
        <x:v>Open</x:v>
      </x:c>
      <x:c r="H196" t="str">
        <x:v>Engineering</x:v>
      </x:c>
      <x:c r="I196" s="10" t="n">
        <x:v>46218</x:v>
      </x:c>
      <x:c r="J196" t="n">
        <x:f>F196-ROUND(F196*0.97,2)</x:f>
        <x:v>11.399999999999977</x:v>
      </x:c>
    </x:row>
    <x:row r="197">
      <x:c r="A197" t="n">
        <x:v>196</x:v>
      </x:c>
      <x:c r="B197" t="str">
        <x:v>PN-03-00196</x:v>
      </x:c>
      <x:c r="C197" t="str">
        <x:v>Automation component 196 / 零件 196</x:v>
      </x:c>
      <x:c r="D197" s="8" t="n">
        <x:v>10</x:v>
      </x:c>
      <x:c r="E197" s="8" t="n">
        <x:v>43.6</x:v>
      </x:c>
      <x:c r="F197" s="8" t="n">
        <x:f>D197*E197</x:f>
        <x:v>436</x:v>
      </x:c>
      <x:c r="G197" t="str">
        <x:v>Approved</x:v>
      </x:c>
      <x:c r="H197" t="str">
        <x:v>Quality</x:v>
      </x:c>
      <x:c r="I197" s="10" t="n">
        <x:v>46219</x:v>
      </x:c>
      <x:c r="J197" t="n">
        <x:f>F197-ROUND(F197*0.97,2)</x:f>
        <x:v>13.079999999999984</x:v>
      </x:c>
    </x:row>
    <x:row r="198">
      <x:c r="A198" t="n">
        <x:v>197</x:v>
      </x:c>
      <x:c r="B198" t="str">
        <x:v>PN-03-00197</x:v>
      </x:c>
      <x:c r="C198" t="str">
        <x:v>Automation component 197 / 零件 197</x:v>
      </x:c>
      <x:c r="D198" s="8" t="n">
        <x:v>11</x:v>
      </x:c>
      <x:c r="E198" s="8" t="n">
        <x:v>44.97</x:v>
      </x:c>
      <x:c r="F198" s="8" t="n">
        <x:f>D198*E198</x:f>
        <x:v>494.66999999999996</x:v>
      </x:c>
      <x:c r="G198" t="str">
        <x:v>Hold</x:v>
      </x:c>
      <x:c r="H198" t="str">
        <x:v>Production</x:v>
      </x:c>
      <x:c r="I198" s="10" t="n">
        <x:v>46220</x:v>
      </x:c>
      <x:c r="J198" t="n">
        <x:f>F198-ROUND(F198*0.97,2)</x:f>
        <x:v>14.839999999999975</x:v>
      </x:c>
    </x:row>
    <x:row r="199">
      <x:c r="A199" t="n">
        <x:v>198</x:v>
      </x:c>
      <x:c r="B199" t="str">
        <x:v>PN-03-00198</x:v>
      </x:c>
      <x:c r="C199" t="str">
        <x:v>Automation component 198 / 零件 198</x:v>
      </x:c>
      <x:c r="D199" s="8" t="n">
        <x:v>12</x:v>
      </x:c>
      <x:c r="E199" s="8" t="n">
        <x:v>46.34</x:v>
      </x:c>
      <x:c r="F199" s="8" t="n">
        <x:f>D199*E199</x:f>
        <x:v>556.08</x:v>
      </x:c>
      <x:c r="G199" t="str">
        <x:v>Open</x:v>
      </x:c>
      <x:c r="H199" t="str">
        <x:v>Engineering</x:v>
      </x:c>
      <x:c r="I199" s="10" t="n">
        <x:v>46221</x:v>
      </x:c>
      <x:c r="J199" t="n">
        <x:f>F199-ROUND(F199*0.97,2)</x:f>
        <x:v>16.680000000000064</x:v>
      </x:c>
    </x:row>
    <x:row r="200">
      <x:c r="A200" t="n">
        <x:v>199</x:v>
      </x:c>
      <x:c r="B200" t="str">
        <x:v>PN-03-00199</x:v>
      </x:c>
      <x:c r="C200" t="str">
        <x:v>Automation component 199 / 零件 199</x:v>
      </x:c>
      <x:c r="D200" s="8" t="n">
        <x:v>13</x:v>
      </x:c>
      <x:c r="E200" s="8" t="n">
        <x:v>47.71</x:v>
      </x:c>
      <x:c r="F200" s="8" t="n">
        <x:f>D200*E200</x:f>
        <x:v>620.23</x:v>
      </x:c>
      <x:c r="G200" t="str">
        <x:v>Approved</x:v>
      </x:c>
      <x:c r="H200" t="str">
        <x:v>Quality</x:v>
      </x:c>
      <x:c r="I200" s="10" t="n">
        <x:v>46222</x:v>
      </x:c>
      <x:c r="J200" t="n">
        <x:f>F200-ROUND(F200*0.97,2)</x:f>
        <x:v>18.610000000000014</x:v>
      </x:c>
    </x:row>
    <x:row r="201">
      <x:c r="A201" t="n">
        <x:v>200</x:v>
      </x:c>
      <x:c r="B201" t="str">
        <x:v>PN-03-00200</x:v>
      </x:c>
      <x:c r="C201" t="str">
        <x:v>Automation component 200 / 零件 200</x:v>
      </x:c>
      <x:c r="D201" s="8" t="n">
        <x:v>14</x:v>
      </x:c>
      <x:c r="E201" s="8" t="n">
        <x:v>49.08</x:v>
      </x:c>
      <x:c r="F201" s="8" t="n">
        <x:f>D201*E201</x:f>
        <x:v>687.12</x:v>
      </x:c>
      <x:c r="G201" t="str">
        <x:v>Hold</x:v>
      </x:c>
      <x:c r="H201" t="str">
        <x:v>Production</x:v>
      </x:c>
      <x:c r="I201" s="10" t="n">
        <x:v>46223</x:v>
      </x:c>
      <x:c r="J201" t="n">
        <x:f>F201-ROUND(F201*0.97,2)</x:f>
        <x:v>20.610000000000014</x:v>
      </x:c>
    </x:row>
    <x:row r="202">
      <x:c r="A202" t="n">
        <x:v>201</x:v>
      </x:c>
      <x:c r="B202" t="str">
        <x:v>PN-03-00201</x:v>
      </x:c>
      <x:c r="C202" t="str">
        <x:v>Automation component 201 / 零件 201</x:v>
      </x:c>
      <x:c r="D202" s="8" t="n">
        <x:v>15</x:v>
      </x:c>
      <x:c r="E202" s="8" t="n">
        <x:v>50.45</x:v>
      </x:c>
      <x:c r="F202" s="8" t="n">
        <x:f>D202*E202</x:f>
        <x:v>756.75</x:v>
      </x:c>
      <x:c r="G202" t="str">
        <x:v>Open</x:v>
      </x:c>
      <x:c r="H202" t="str">
        <x:v>Engineering</x:v>
      </x:c>
      <x:c r="I202" s="10" t="n">
        <x:v>46224</x:v>
      </x:c>
      <x:c r="J202" t="n">
        <x:f>F202-ROUND(F202*0.97,2)</x:f>
        <x:v>22.700000000000045</x:v>
      </x:c>
    </x:row>
    <x:row r="203">
      <x:c r="A203" t="n">
        <x:v>202</x:v>
      </x:c>
      <x:c r="B203" t="str">
        <x:v>PN-03-00202</x:v>
      </x:c>
      <x:c r="C203" t="str">
        <x:v>Automation component 202 / 零件 202</x:v>
      </x:c>
      <x:c r="D203" s="8" t="n">
        <x:v>16</x:v>
      </x:c>
      <x:c r="E203" s="8" t="n">
        <x:v>51.82</x:v>
      </x:c>
      <x:c r="F203" s="8" t="n">
        <x:f>D203*E203</x:f>
        <x:v>829.12</x:v>
      </x:c>
      <x:c r="G203" t="str">
        <x:v>Approved</x:v>
      </x:c>
      <x:c r="H203" t="str">
        <x:v>Quality</x:v>
      </x:c>
      <x:c r="I203" s="10" t="n">
        <x:v>46225</x:v>
      </x:c>
      <x:c r="J203" t="n">
        <x:f>F203-ROUND(F203*0.97,2)</x:f>
        <x:v>24.870000000000005</x:v>
      </x:c>
    </x:row>
    <x:row r="204">
      <x:c r="A204" t="n">
        <x:v>203</x:v>
      </x:c>
      <x:c r="B204" t="str">
        <x:v>PN-03-00203</x:v>
      </x:c>
      <x:c r="C204" t="str">
        <x:v>Automation component 203 / 零件 203</x:v>
      </x:c>
      <x:c r="D204" s="8" t="n">
        <x:v>17</x:v>
      </x:c>
      <x:c r="E204" s="8" t="n">
        <x:v>53.19</x:v>
      </x:c>
      <x:c r="F204" s="8" t="n">
        <x:f>D204*E204</x:f>
        <x:v>904.23</x:v>
      </x:c>
      <x:c r="G204" t="str">
        <x:v>Hold</x:v>
      </x:c>
      <x:c r="H204" t="str">
        <x:v>Production</x:v>
      </x:c>
      <x:c r="I204" s="10" t="n">
        <x:v>46226</x:v>
      </x:c>
      <x:c r="J204" t="n">
        <x:f>F204-ROUND(F204*0.97,2)</x:f>
        <x:v>27.129999999999995</x:v>
      </x:c>
    </x:row>
    <x:row r="205">
      <x:c r="A205" t="n">
        <x:v>204</x:v>
      </x:c>
      <x:c r="B205" t="str">
        <x:v>PN-03-00204</x:v>
      </x:c>
      <x:c r="C205" t="str">
        <x:v>Automation component 204 / 零件 204</x:v>
      </x:c>
      <x:c r="D205" s="8" t="n">
        <x:v>1</x:v>
      </x:c>
      <x:c r="E205" s="8" t="n">
        <x:v>54.56</x:v>
      </x:c>
      <x:c r="F205" s="8" t="n">
        <x:f>D205*E205</x:f>
        <x:v>54.56</x:v>
      </x:c>
      <x:c r="G205" t="str">
        <x:v>Open</x:v>
      </x:c>
      <x:c r="H205" t="str">
        <x:v>Engineering</x:v>
      </x:c>
      <x:c r="I205" s="10" t="n">
        <x:v>46227</x:v>
      </x:c>
      <x:c r="J205" t="n">
        <x:f>F205-ROUND(F205*0.97,2)</x:f>
        <x:v>1.6400000000000006</x:v>
      </x:c>
    </x:row>
    <x:row r="206">
      <x:c r="A206" t="n">
        <x:v>205</x:v>
      </x:c>
      <x:c r="B206" t="str">
        <x:v>PN-03-00205</x:v>
      </x:c>
      <x:c r="C206" t="str">
        <x:v>Automation component 205 / 零件 205</x:v>
      </x:c>
      <x:c r="D206" s="8" t="n">
        <x:v>2</x:v>
      </x:c>
      <x:c r="E206" s="8" t="n">
        <x:v>55.93</x:v>
      </x:c>
      <x:c r="F206" s="8" t="n">
        <x:f>D206*E206</x:f>
        <x:v>111.86</x:v>
      </x:c>
      <x:c r="G206" t="str">
        <x:v>Approved</x:v>
      </x:c>
      <x:c r="H206" t="str">
        <x:v>Quality</x:v>
      </x:c>
      <x:c r="I206" s="10" t="n">
        <x:v>46228</x:v>
      </x:c>
      <x:c r="J206" t="n">
        <x:f>F206-ROUND(F206*0.97,2)</x:f>
        <x:v>3.3599999999999994</x:v>
      </x:c>
    </x:row>
    <x:row r="207">
      <x:c r="A207" t="n">
        <x:v>206</x:v>
      </x:c>
      <x:c r="B207" t="str">
        <x:v>PN-03-00206</x:v>
      </x:c>
      <x:c r="C207" t="str">
        <x:v>Automation component 206 / 零件 206</x:v>
      </x:c>
      <x:c r="D207" s="8" t="n">
        <x:v>3</x:v>
      </x:c>
      <x:c r="E207" s="8" t="n">
        <x:v>57.3</x:v>
      </x:c>
      <x:c r="F207" s="8" t="n">
        <x:f>D207*E207</x:f>
        <x:v>171.89999999999998</x:v>
      </x:c>
      <x:c r="G207" t="str">
        <x:v>Hold</x:v>
      </x:c>
      <x:c r="H207" t="str">
        <x:v>Production</x:v>
      </x:c>
      <x:c r="I207" s="10" t="n">
        <x:v>46229</x:v>
      </x:c>
      <x:c r="J207" t="n">
        <x:f>F207-ROUND(F207*0.97,2)</x:f>
        <x:v>5.159999999999968</x:v>
      </x:c>
    </x:row>
    <x:row r="208">
      <x:c r="A208" t="n">
        <x:v>207</x:v>
      </x:c>
      <x:c r="B208" t="str">
        <x:v>PN-03-00207</x:v>
      </x:c>
      <x:c r="C208" t="str">
        <x:v>Automation component 207 / 零件 207</x:v>
      </x:c>
      <x:c r="D208" s="8" t="n">
        <x:v>4</x:v>
      </x:c>
      <x:c r="E208" s="8" t="n">
        <x:v>58.67</x:v>
      </x:c>
      <x:c r="F208" s="8" t="n">
        <x:f>D208*E208</x:f>
        <x:v>234.68</x:v>
      </x:c>
      <x:c r="G208" t="str">
        <x:v>Open</x:v>
      </x:c>
      <x:c r="H208" t="str">
        <x:v>Engineering</x:v>
      </x:c>
      <x:c r="I208" s="10" t="n">
        <x:v>46230</x:v>
      </x:c>
      <x:c r="J208" t="n">
        <x:f>F208-ROUND(F208*0.97,2)</x:f>
        <x:v>7.0400000000000205</x:v>
      </x:c>
    </x:row>
    <x:row r="209">
      <x:c r="A209" t="n">
        <x:v>208</x:v>
      </x:c>
      <x:c r="B209" t="str">
        <x:v>PN-03-00208</x:v>
      </x:c>
      <x:c r="C209" t="str">
        <x:v>Automation component 208 / 零件 208</x:v>
      </x:c>
      <x:c r="D209" s="8" t="n">
        <x:v>5</x:v>
      </x:c>
      <x:c r="E209" s="8" t="n">
        <x:v>60.04</x:v>
      </x:c>
      <x:c r="F209" s="8" t="n">
        <x:f>D209*E209</x:f>
        <x:v>300.2</x:v>
      </x:c>
      <x:c r="G209" t="str">
        <x:v>Approved</x:v>
      </x:c>
      <x:c r="H209" t="str">
        <x:v>Quality</x:v>
      </x:c>
      <x:c r="I209" s="10" t="n">
        <x:v>46231</x:v>
      </x:c>
      <x:c r="J209" t="n">
        <x:f>F209-ROUND(F209*0.97,2)</x:f>
        <x:v>9.009999999999991</x:v>
      </x:c>
    </x:row>
    <x:row r="210">
      <x:c r="A210" t="n">
        <x:v>209</x:v>
      </x:c>
      <x:c r="B210" t="str">
        <x:v>PN-03-00209</x:v>
      </x:c>
      <x:c r="C210" t="str">
        <x:v>Automation component 209 / 零件 209</x:v>
      </x:c>
      <x:c r="D210" s="8" t="n">
        <x:v>6</x:v>
      </x:c>
      <x:c r="E210" s="8" t="n">
        <x:v>61.41</x:v>
      </x:c>
      <x:c r="F210" s="8" t="n">
        <x:f>D210*E210</x:f>
        <x:v>368.46</x:v>
      </x:c>
      <x:c r="G210" t="str">
        <x:v>Hold</x:v>
      </x:c>
      <x:c r="H210" t="str">
        <x:v>Production</x:v>
      </x:c>
      <x:c r="I210" s="10" t="n">
        <x:v>46232</x:v>
      </x:c>
      <x:c r="J210" t="n">
        <x:f>F210-ROUND(F210*0.97,2)</x:f>
        <x:v>11.049999999999955</x:v>
      </x:c>
    </x:row>
    <x:row r="211">
      <x:c r="A211" t="n">
        <x:v>210</x:v>
      </x:c>
      <x:c r="B211" t="str">
        <x:v>PN-03-00210</x:v>
      </x:c>
      <x:c r="C211" t="str">
        <x:v>Automation component 210 / 零件 210</x:v>
      </x:c>
      <x:c r="D211" s="8" t="n">
        <x:v>7</x:v>
      </x:c>
      <x:c r="E211" s="8" t="n">
        <x:v>62.78</x:v>
      </x:c>
      <x:c r="F211" s="8" t="n">
        <x:f>D211*E211</x:f>
        <x:v>439.46000000000004</x:v>
      </x:c>
      <x:c r="G211" t="str">
        <x:v>Open</x:v>
      </x:c>
      <x:c r="H211" t="str">
        <x:v>Engineering</x:v>
      </x:c>
      <x:c r="I211" s="10" t="n">
        <x:v>46233</x:v>
      </x:c>
      <x:c r="J211" t="n">
        <x:f>F211-ROUND(F211*0.97,2)</x:f>
        <x:v>13.180000000000064</x:v>
      </x:c>
    </x:row>
    <x:row r="212">
      <x:c r="A212" t="n">
        <x:v>211</x:v>
      </x:c>
      <x:c r="B212" t="str">
        <x:v>PN-03-00211</x:v>
      </x:c>
      <x:c r="C212" t="str">
        <x:v>Automation component 211 / 零件 211</x:v>
      </x:c>
      <x:c r="D212" s="8" t="n">
        <x:v>8</x:v>
      </x:c>
      <x:c r="E212" s="8" t="n">
        <x:v>64.15</x:v>
      </x:c>
      <x:c r="F212" s="8" t="n">
        <x:f>D212*E212</x:f>
        <x:v>513.2</x:v>
      </x:c>
      <x:c r="G212" t="str">
        <x:v>Approved</x:v>
      </x:c>
      <x:c r="H212" t="str">
        <x:v>Quality</x:v>
      </x:c>
      <x:c r="I212" s="10" t="n">
        <x:v>46234</x:v>
      </x:c>
      <x:c r="J212" t="n">
        <x:f>F212-ROUND(F212*0.97,2)</x:f>
        <x:v>15.400000000000034</x:v>
      </x:c>
    </x:row>
    <x:row r="213">
      <x:c r="A213" t="n">
        <x:v>212</x:v>
      </x:c>
      <x:c r="B213" t="str">
        <x:v>PN-03-00212</x:v>
      </x:c>
      <x:c r="C213" t="str">
        <x:v>Automation component 212 / 零件 212</x:v>
      </x:c>
      <x:c r="D213" s="8" t="n">
        <x:v>9</x:v>
      </x:c>
      <x:c r="E213" s="8" t="n">
        <x:v>65.52</x:v>
      </x:c>
      <x:c r="F213" s="8" t="n">
        <x:f>D213*E213</x:f>
        <x:v>589.68</x:v>
      </x:c>
      <x:c r="G213" t="str">
        <x:v>Hold</x:v>
      </x:c>
      <x:c r="H213" t="str">
        <x:v>Production</x:v>
      </x:c>
      <x:c r="I213" s="10" t="n">
        <x:v>46235</x:v>
      </x:c>
      <x:c r="J213" t="n">
        <x:f>F213-ROUND(F213*0.97,2)</x:f>
        <x:v>17.68999999999994</x:v>
      </x:c>
    </x:row>
    <x:row r="214">
      <x:c r="A214" t="n">
        <x:v>213</x:v>
      </x:c>
      <x:c r="B214" t="str">
        <x:v>PN-03-00213</x:v>
      </x:c>
      <x:c r="C214" t="str">
        <x:v>Automation component 213 / 零件 213</x:v>
      </x:c>
      <x:c r="D214" s="8" t="n">
        <x:v>10</x:v>
      </x:c>
      <x:c r="E214" s="8" t="n">
        <x:v>66.89</x:v>
      </x:c>
      <x:c r="F214" s="8" t="n">
        <x:f>D214*E214</x:f>
        <x:v>668.9</x:v>
      </x:c>
      <x:c r="G214" t="str">
        <x:v>Open</x:v>
      </x:c>
      <x:c r="H214" t="str">
        <x:v>Engineering</x:v>
      </x:c>
      <x:c r="I214" s="10" t="n">
        <x:v>46236</x:v>
      </x:c>
      <x:c r="J214" t="n">
        <x:f>F214-ROUND(F214*0.97,2)</x:f>
        <x:v>20.069999999999936</x:v>
      </x:c>
    </x:row>
    <x:row r="215">
      <x:c r="A215" t="n">
        <x:v>214</x:v>
      </x:c>
      <x:c r="B215" t="str">
        <x:v>PN-03-00214</x:v>
      </x:c>
      <x:c r="C215" t="str">
        <x:v>Automation component 214 / 零件 214</x:v>
      </x:c>
      <x:c r="D215" s="8" t="n">
        <x:v>11</x:v>
      </x:c>
      <x:c r="E215" s="8" t="n">
        <x:v>68.26</x:v>
      </x:c>
      <x:c r="F215" s="8" t="n">
        <x:f>D215*E215</x:f>
        <x:v>750.86</x:v>
      </x:c>
      <x:c r="G215" t="str">
        <x:v>Approved</x:v>
      </x:c>
      <x:c r="H215" t="str">
        <x:v>Quality</x:v>
      </x:c>
      <x:c r="I215" s="10" t="n">
        <x:v>46237</x:v>
      </x:c>
      <x:c r="J215" t="n">
        <x:f>F215-ROUND(F215*0.97,2)</x:f>
        <x:v>22.529999999999973</x:v>
      </x:c>
    </x:row>
    <x:row r="216">
      <x:c r="A216" t="n">
        <x:v>215</x:v>
      </x:c>
      <x:c r="B216" t="str">
        <x:v>PN-03-00215</x:v>
      </x:c>
      <x:c r="C216" t="str">
        <x:v>Automation component 215 / 零件 215</x:v>
      </x:c>
      <x:c r="D216" s="8" t="n">
        <x:v>12</x:v>
      </x:c>
      <x:c r="E216" s="8" t="n">
        <x:v>69.63</x:v>
      </x:c>
      <x:c r="F216" s="8" t="n">
        <x:f>D216*E216</x:f>
        <x:v>835.56</x:v>
      </x:c>
      <x:c r="G216" t="str">
        <x:v>Hold</x:v>
      </x:c>
      <x:c r="H216" t="str">
        <x:v>Production</x:v>
      </x:c>
      <x:c r="I216" s="10" t="n">
        <x:v>46238</x:v>
      </x:c>
      <x:c r="J216" t="n">
        <x:f>F216-ROUND(F216*0.97,2)</x:f>
        <x:v>25.069999999999936</x:v>
      </x:c>
    </x:row>
    <x:row r="217">
      <x:c r="A217" t="n">
        <x:v>216</x:v>
      </x:c>
      <x:c r="B217" t="str">
        <x:v>PN-03-00216</x:v>
      </x:c>
      <x:c r="C217" t="str">
        <x:v>Automation component 216 / 零件 216</x:v>
      </x:c>
      <x:c r="D217" s="8" t="n">
        <x:v>13</x:v>
      </x:c>
      <x:c r="E217" s="8" t="n">
        <x:v>71</x:v>
      </x:c>
      <x:c r="F217" s="8" t="n">
        <x:f>D217*E217</x:f>
        <x:v>923</x:v>
      </x:c>
      <x:c r="G217" t="str">
        <x:v>Open</x:v>
      </x:c>
      <x:c r="H217" t="str">
        <x:v>Engineering</x:v>
      </x:c>
      <x:c r="I217" s="10" t="n">
        <x:v>46239</x:v>
      </x:c>
      <x:c r="J217" t="n">
        <x:f>F217-ROUND(F217*0.97,2)</x:f>
        <x:v>27.690000000000055</x:v>
      </x:c>
    </x:row>
    <x:row r="218">
      <x:c r="A218" t="n">
        <x:v>217</x:v>
      </x:c>
      <x:c r="B218" t="str">
        <x:v>PN-03-00217</x:v>
      </x:c>
      <x:c r="C218" t="str">
        <x:v>Automation component 217 / 零件 217</x:v>
      </x:c>
      <x:c r="D218" s="8" t="n">
        <x:v>14</x:v>
      </x:c>
      <x:c r="E218" s="8" t="n">
        <x:v>72.37</x:v>
      </x:c>
      <x:c r="F218" s="8" t="n">
        <x:f>D218*E218</x:f>
        <x:v>1013.1800000000001</x:v>
      </x:c>
      <x:c r="G218" t="str">
        <x:v>Approved</x:v>
      </x:c>
      <x:c r="H218" t="str">
        <x:v>Quality</x:v>
      </x:c>
      <x:c r="I218" s="10" t="n">
        <x:v>46240</x:v>
      </x:c>
      <x:c r="J218" t="n">
        <x:f>F218-ROUND(F218*0.97,2)</x:f>
        <x:v>30.40000000000009</x:v>
      </x:c>
    </x:row>
    <x:row r="219">
      <x:c r="A219" t="n">
        <x:v>218</x:v>
      </x:c>
      <x:c r="B219" t="str">
        <x:v>PN-03-00218</x:v>
      </x:c>
      <x:c r="C219" t="str">
        <x:v>Automation component 218 / 零件 218</x:v>
      </x:c>
      <x:c r="D219" s="8" t="n">
        <x:v>15</x:v>
      </x:c>
      <x:c r="E219" s="8" t="n">
        <x:v>73.74</x:v>
      </x:c>
      <x:c r="F219" s="8" t="n">
        <x:f>D219*E219</x:f>
        <x:v>1106.1</x:v>
      </x:c>
      <x:c r="G219" t="str">
        <x:v>Hold</x:v>
      </x:c>
      <x:c r="H219" t="str">
        <x:v>Production</x:v>
      </x:c>
      <x:c r="I219" s="10" t="n">
        <x:v>46241</x:v>
      </x:c>
      <x:c r="J219" t="n">
        <x:f>F219-ROUND(F219*0.97,2)</x:f>
        <x:v>33.179999999999836</x:v>
      </x:c>
    </x:row>
    <x:row r="220">
      <x:c r="A220" t="n">
        <x:v>219</x:v>
      </x:c>
      <x:c r="B220" t="str">
        <x:v>PN-03-00219</x:v>
      </x:c>
      <x:c r="C220" t="str">
        <x:v>Automation component 219 / 零件 219</x:v>
      </x:c>
      <x:c r="D220" s="8" t="n">
        <x:v>16</x:v>
      </x:c>
      <x:c r="E220" s="8" t="n">
        <x:v>75.11</x:v>
      </x:c>
      <x:c r="F220" s="8" t="n">
        <x:f>D220*E220</x:f>
        <x:v>1201.76</x:v>
      </x:c>
      <x:c r="G220" t="str">
        <x:v>Open</x:v>
      </x:c>
      <x:c r="H220" t="str">
        <x:v>Engineering</x:v>
      </x:c>
      <x:c r="I220" s="10" t="n">
        <x:v>46242</x:v>
      </x:c>
      <x:c r="J220" t="n">
        <x:f>F220-ROUND(F220*0.97,2)</x:f>
        <x:v>36.049999999999955</x:v>
      </x:c>
    </x:row>
    <x:row r="221">
      <x:c r="A221" t="n">
        <x:v>220</x:v>
      </x:c>
      <x:c r="B221" t="str">
        <x:v>PN-03-00220</x:v>
      </x:c>
      <x:c r="C221" t="str">
        <x:v>Automation component 220 / 零件 220</x:v>
      </x:c>
      <x:c r="D221" s="8" t="n">
        <x:v>17</x:v>
      </x:c>
      <x:c r="E221" s="8" t="n">
        <x:v>76.48</x:v>
      </x:c>
      <x:c r="F221" s="8" t="n">
        <x:f>D221*E221</x:f>
        <x:v>1300.16</x:v>
      </x:c>
      <x:c r="G221" t="str">
        <x:v>Approved</x:v>
      </x:c>
      <x:c r="H221" t="str">
        <x:v>Quality</x:v>
      </x:c>
      <x:c r="I221" s="10" t="n">
        <x:v>46243</x:v>
      </x:c>
      <x:c r="J221" t="n">
        <x:f>F221-ROUND(F221*0.97,2)</x:f>
        <x:v>39</x:v>
      </x:c>
    </x:row>
    <x:row r="222">
      <x:c r="A222" t="n">
        <x:v>221</x:v>
      </x:c>
      <x:c r="B222" t="str">
        <x:v>PN-03-00221</x:v>
      </x:c>
      <x:c r="C222" t="str">
        <x:v>Automation component 221 / 零件 221</x:v>
      </x:c>
      <x:c r="D222" s="8" t="n">
        <x:v>1</x:v>
      </x:c>
      <x:c r="E222" s="8" t="n">
        <x:v>77.85</x:v>
      </x:c>
      <x:c r="F222" s="8" t="n">
        <x:f>D222*E222</x:f>
        <x:v>77.85</x:v>
      </x:c>
      <x:c r="G222" t="str">
        <x:v>Hold</x:v>
      </x:c>
      <x:c r="H222" t="str">
        <x:v>Production</x:v>
      </x:c>
      <x:c r="I222" s="10" t="n">
        <x:v>46244</x:v>
      </x:c>
      <x:c r="J222" t="n">
        <x:f>F222-ROUND(F222*0.97,2)</x:f>
        <x:v>2.339999999999989</x:v>
      </x:c>
    </x:row>
    <x:row r="223">
      <x:c r="A223" t="n">
        <x:v>222</x:v>
      </x:c>
      <x:c r="B223" t="str">
        <x:v>PN-03-00222</x:v>
      </x:c>
      <x:c r="C223" t="str">
        <x:v>Automation component 222 / 零件 222</x:v>
      </x:c>
      <x:c r="D223" s="8" t="n">
        <x:v>2</x:v>
      </x:c>
      <x:c r="E223" s="8" t="n">
        <x:v>79.22</x:v>
      </x:c>
      <x:c r="F223" s="8" t="n">
        <x:f>D223*E223</x:f>
        <x:v>158.44</x:v>
      </x:c>
      <x:c r="G223" t="str">
        <x:v>Open</x:v>
      </x:c>
      <x:c r="H223" t="str">
        <x:v>Engineering</x:v>
      </x:c>
      <x:c r="I223" s="10" t="n">
        <x:v>46245</x:v>
      </x:c>
      <x:c r="J223" t="n">
        <x:f>F223-ROUND(F223*0.97,2)</x:f>
        <x:v>4.75</x:v>
      </x:c>
    </x:row>
    <x:row r="224">
      <x:c r="A224" t="n">
        <x:v>223</x:v>
      </x:c>
      <x:c r="B224" t="str">
        <x:v>PN-03-00223</x:v>
      </x:c>
      <x:c r="C224" t="str">
        <x:v>Automation component 223 / 零件 223</x:v>
      </x:c>
      <x:c r="D224" s="8" t="n">
        <x:v>3</x:v>
      </x:c>
      <x:c r="E224" s="8" t="n">
        <x:v>80.59</x:v>
      </x:c>
      <x:c r="F224" s="8" t="n">
        <x:f>D224*E224</x:f>
        <x:v>241.77</x:v>
      </x:c>
      <x:c r="G224" t="str">
        <x:v>Approved</x:v>
      </x:c>
      <x:c r="H224" t="str">
        <x:v>Quality</x:v>
      </x:c>
      <x:c r="I224" s="10" t="n">
        <x:v>46246</x:v>
      </x:c>
      <x:c r="J224" t="n">
        <x:f>F224-ROUND(F224*0.97,2)</x:f>
        <x:v>7.25</x:v>
      </x:c>
    </x:row>
    <x:row r="225">
      <x:c r="A225" t="n">
        <x:v>224</x:v>
      </x:c>
      <x:c r="B225" t="str">
        <x:v>PN-03-00224</x:v>
      </x:c>
      <x:c r="C225" t="str">
        <x:v>Automation component 224 / 零件 224</x:v>
      </x:c>
      <x:c r="D225" s="8" t="n">
        <x:v>4</x:v>
      </x:c>
      <x:c r="E225" s="8" t="n">
        <x:v>81.96</x:v>
      </x:c>
      <x:c r="F225" s="8" t="n">
        <x:f>D225*E225</x:f>
        <x:v>327.84</x:v>
      </x:c>
      <x:c r="G225" t="str">
        <x:v>Hold</x:v>
      </x:c>
      <x:c r="H225" t="str">
        <x:v>Production</x:v>
      </x:c>
      <x:c r="I225" s="10" t="n">
        <x:v>46247</x:v>
      </x:c>
      <x:c r="J225" t="n">
        <x:f>F225-ROUND(F225*0.97,2)</x:f>
        <x:v>9.839999999999975</x:v>
      </x:c>
    </x:row>
    <x:row r="226">
      <x:c r="A226" t="n">
        <x:v>225</x:v>
      </x:c>
      <x:c r="B226" t="str">
        <x:v>PN-03-00225</x:v>
      </x:c>
      <x:c r="C226" t="str">
        <x:v>Automation component 225 / 零件 225</x:v>
      </x:c>
      <x:c r="D226" s="8" t="n">
        <x:v>5</x:v>
      </x:c>
      <x:c r="E226" s="8" t="n">
        <x:v>83.33</x:v>
      </x:c>
      <x:c r="F226" s="8" t="n">
        <x:f>D226*E226</x:f>
        <x:v>416.65</x:v>
      </x:c>
      <x:c r="G226" t="str">
        <x:v>Open</x:v>
      </x:c>
      <x:c r="H226" t="str">
        <x:v>Engineering</x:v>
      </x:c>
      <x:c r="I226" s="10" t="n">
        <x:v>46248</x:v>
      </x:c>
      <x:c r="J226" t="n">
        <x:f>F226-ROUND(F226*0.97,2)</x:f>
        <x:v>12.5</x:v>
      </x:c>
    </x:row>
    <x:row r="227">
      <x:c r="A227" t="n">
        <x:v>226</x:v>
      </x:c>
      <x:c r="B227" t="str">
        <x:v>PN-03-00226</x:v>
      </x:c>
      <x:c r="C227" t="str">
        <x:v>Automation component 226 / 零件 226</x:v>
      </x:c>
      <x:c r="D227" s="8" t="n">
        <x:v>6</x:v>
      </x:c>
      <x:c r="E227" s="8" t="n">
        <x:v>84.7</x:v>
      </x:c>
      <x:c r="F227" s="8" t="n">
        <x:f>D227*E227</x:f>
        <x:v>508.20000000000005</x:v>
      </x:c>
      <x:c r="G227" t="str">
        <x:v>Approved</x:v>
      </x:c>
      <x:c r="H227" t="str">
        <x:v>Quality</x:v>
      </x:c>
      <x:c r="I227" s="10" t="n">
        <x:v>46249</x:v>
      </x:c>
      <x:c r="J227" t="n">
        <x:f>F227-ROUND(F227*0.97,2)</x:f>
        <x:v>15.250000000000057</x:v>
      </x:c>
    </x:row>
    <x:row r="228">
      <x:c r="A228" t="n">
        <x:v>227</x:v>
      </x:c>
      <x:c r="B228" t="str">
        <x:v>PN-03-00227</x:v>
      </x:c>
      <x:c r="C228" t="str">
        <x:v>Automation component 227 / 零件 227</x:v>
      </x:c>
      <x:c r="D228" s="8" t="n">
        <x:v>7</x:v>
      </x:c>
      <x:c r="E228" s="8" t="n">
        <x:v>86.07</x:v>
      </x:c>
      <x:c r="F228" s="8" t="n">
        <x:f>D228*E228</x:f>
        <x:v>602.49</x:v>
      </x:c>
      <x:c r="G228" t="str">
        <x:v>Hold</x:v>
      </x:c>
      <x:c r="H228" t="str">
        <x:v>Production</x:v>
      </x:c>
      <x:c r="I228" s="10" t="n">
        <x:v>46250</x:v>
      </x:c>
      <x:c r="J228" t="n">
        <x:f>F228-ROUND(F228*0.97,2)</x:f>
        <x:v>18.07000000000005</x:v>
      </x:c>
    </x:row>
    <x:row r="229">
      <x:c r="A229" t="n">
        <x:v>228</x:v>
      </x:c>
      <x:c r="B229" t="str">
        <x:v>PN-03-00228</x:v>
      </x:c>
      <x:c r="C229" t="str">
        <x:v>Automation component 228 / 零件 228</x:v>
      </x:c>
      <x:c r="D229" s="8" t="n">
        <x:v>8</x:v>
      </x:c>
      <x:c r="E229" s="8" t="n">
        <x:v>87.44</x:v>
      </x:c>
      <x:c r="F229" s="8" t="n">
        <x:f>D229*E229</x:f>
        <x:v>699.52</x:v>
      </x:c>
      <x:c r="G229" t="str">
        <x:v>Open</x:v>
      </x:c>
      <x:c r="H229" t="str">
        <x:v>Engineering</x:v>
      </x:c>
      <x:c r="I229" s="10" t="n">
        <x:v>46251</x:v>
      </x:c>
      <x:c r="J229" t="n">
        <x:f>F229-ROUND(F229*0.97,2)</x:f>
        <x:v>20.99000000000001</x:v>
      </x:c>
    </x:row>
    <x:row r="230">
      <x:c r="A230" t="n">
        <x:v>229</x:v>
      </x:c>
      <x:c r="B230" t="str">
        <x:v>PN-03-00229</x:v>
      </x:c>
      <x:c r="C230" t="str">
        <x:v>Automation component 229 / 零件 229</x:v>
      </x:c>
      <x:c r="D230" s="8" t="n">
        <x:v>9</x:v>
      </x:c>
      <x:c r="E230" s="8" t="n">
        <x:v>88.81</x:v>
      </x:c>
      <x:c r="F230" s="8" t="n">
        <x:f>D230*E230</x:f>
        <x:v>799.29</x:v>
      </x:c>
      <x:c r="G230" t="str">
        <x:v>Approved</x:v>
      </x:c>
      <x:c r="H230" t="str">
        <x:v>Quality</x:v>
      </x:c>
      <x:c r="I230" s="10" t="n">
        <x:v>46252</x:v>
      </x:c>
      <x:c r="J230" t="n">
        <x:f>F230-ROUND(F230*0.97,2)</x:f>
        <x:v>23.980000000000018</x:v>
      </x:c>
    </x:row>
    <x:row r="231">
      <x:c r="A231" t="n">
        <x:v>230</x:v>
      </x:c>
      <x:c r="B231" t="str">
        <x:v>PN-03-00230</x:v>
      </x:c>
      <x:c r="C231" t="str">
        <x:v>Automation component 230 / 零件 230</x:v>
      </x:c>
      <x:c r="D231" s="8" t="n">
        <x:v>10</x:v>
      </x:c>
      <x:c r="E231" s="8" t="n">
        <x:v>90.18</x:v>
      </x:c>
      <x:c r="F231" s="8" t="n">
        <x:f>D231*E231</x:f>
        <x:v>901.8000000000001</x:v>
      </x:c>
      <x:c r="G231" t="str">
        <x:v>Hold</x:v>
      </x:c>
      <x:c r="H231" t="str">
        <x:v>Production</x:v>
      </x:c>
      <x:c r="I231" s="10" t="n">
        <x:v>46253</x:v>
      </x:c>
      <x:c r="J231" t="n">
        <x:f>F231-ROUND(F231*0.97,2)</x:f>
        <x:v>27.050000000000068</x:v>
      </x:c>
    </x:row>
    <x:row r="232">
      <x:c r="A232" t="n">
        <x:v>231</x:v>
      </x:c>
      <x:c r="B232" t="str">
        <x:v>PN-03-00231</x:v>
      </x:c>
      <x:c r="C232" t="str">
        <x:v>Automation component 231 / 零件 231</x:v>
      </x:c>
      <x:c r="D232" s="8" t="n">
        <x:v>11</x:v>
      </x:c>
      <x:c r="E232" s="8" t="n">
        <x:v>91.55</x:v>
      </x:c>
      <x:c r="F232" s="8" t="n">
        <x:f>D232*E232</x:f>
        <x:v>1007.05</x:v>
      </x:c>
      <x:c r="G232" t="str">
        <x:v>Open</x:v>
      </x:c>
      <x:c r="H232" t="str">
        <x:v>Engineering</x:v>
      </x:c>
      <x:c r="I232" s="10" t="n">
        <x:v>46254</x:v>
      </x:c>
      <x:c r="J232" t="n">
        <x:f>F232-ROUND(F232*0.97,2)</x:f>
        <x:v>30.209999999999923</x:v>
      </x:c>
    </x:row>
    <x:row r="233">
      <x:c r="A233" t="n">
        <x:v>232</x:v>
      </x:c>
      <x:c r="B233" t="str">
        <x:v>PN-03-00232</x:v>
      </x:c>
      <x:c r="C233" t="str">
        <x:v>Automation component 232 / 零件 232</x:v>
      </x:c>
      <x:c r="D233" s="8" t="n">
        <x:v>12</x:v>
      </x:c>
      <x:c r="E233" s="8" t="n">
        <x:v>92.92</x:v>
      </x:c>
      <x:c r="F233" s="8" t="n">
        <x:f>D233*E233</x:f>
        <x:v>1115.04</x:v>
      </x:c>
      <x:c r="G233" t="str">
        <x:v>Approved</x:v>
      </x:c>
      <x:c r="H233" t="str">
        <x:v>Quality</x:v>
      </x:c>
      <x:c r="I233" s="10" t="n">
        <x:v>46255</x:v>
      </x:c>
      <x:c r="J233" t="n">
        <x:f>F233-ROUND(F233*0.97,2)</x:f>
        <x:v>33.450000000000045</x:v>
      </x:c>
    </x:row>
    <x:row r="234">
      <x:c r="A234" t="n">
        <x:v>233</x:v>
      </x:c>
      <x:c r="B234" t="str">
        <x:v>PN-03-00233</x:v>
      </x:c>
      <x:c r="C234" t="str">
        <x:v>Automation component 233 / 零件 233</x:v>
      </x:c>
      <x:c r="D234" s="8" t="n">
        <x:v>13</x:v>
      </x:c>
      <x:c r="E234" s="8" t="n">
        <x:v>94.29</x:v>
      </x:c>
      <x:c r="F234" s="8" t="n">
        <x:f>D234*E234</x:f>
        <x:v>1225.77</x:v>
      </x:c>
      <x:c r="G234" t="str">
        <x:v>Hold</x:v>
      </x:c>
      <x:c r="H234" t="str">
        <x:v>Production</x:v>
      </x:c>
      <x:c r="I234" s="10" t="n">
        <x:v>46256</x:v>
      </x:c>
      <x:c r="J234" t="n">
        <x:f>F234-ROUND(F234*0.97,2)</x:f>
        <x:v>36.76999999999998</x:v>
      </x:c>
    </x:row>
    <x:row r="235">
      <x:c r="A235" t="n">
        <x:v>234</x:v>
      </x:c>
      <x:c r="B235" t="str">
        <x:v>PN-03-00234</x:v>
      </x:c>
      <x:c r="C235" t="str">
        <x:v>Automation component 234 / 零件 234</x:v>
      </x:c>
      <x:c r="D235" s="8" t="n">
        <x:v>14</x:v>
      </x:c>
      <x:c r="E235" s="8" t="n">
        <x:v>95.66</x:v>
      </x:c>
      <x:c r="F235" s="8" t="n">
        <x:f>D235*E235</x:f>
        <x:v>1339.24</x:v>
      </x:c>
      <x:c r="G235" t="str">
        <x:v>Open</x:v>
      </x:c>
      <x:c r="H235" t="str">
        <x:v>Engineering</x:v>
      </x:c>
      <x:c r="I235" s="10" t="n">
        <x:v>46257</x:v>
      </x:c>
      <x:c r="J235" t="n">
        <x:f>F235-ROUND(F235*0.97,2)</x:f>
        <x:v>40.180000000000064</x:v>
      </x:c>
    </x:row>
    <x:row r="236">
      <x:c r="A236" t="n">
        <x:v>235</x:v>
      </x:c>
      <x:c r="B236" t="str">
        <x:v>PN-03-00235</x:v>
      </x:c>
      <x:c r="C236" t="str">
        <x:v>Automation component 235 / 零件 235</x:v>
      </x:c>
      <x:c r="D236" s="8" t="n">
        <x:v>15</x:v>
      </x:c>
      <x:c r="E236" s="8" t="n">
        <x:v>97.03</x:v>
      </x:c>
      <x:c r="F236" s="8" t="n">
        <x:f>D236*E236</x:f>
        <x:v>1455.45</x:v>
      </x:c>
      <x:c r="G236" t="str">
        <x:v>Approved</x:v>
      </x:c>
      <x:c r="H236" t="str">
        <x:v>Quality</x:v>
      </x:c>
      <x:c r="I236" s="10" t="n">
        <x:v>46258</x:v>
      </x:c>
      <x:c r="J236" t="n">
        <x:f>F236-ROUND(F236*0.97,2)</x:f>
        <x:v>43.66000000000008</x:v>
      </x:c>
    </x:row>
    <x:row r="237">
      <x:c r="A237" t="n">
        <x:v>236</x:v>
      </x:c>
      <x:c r="B237" t="str">
        <x:v>PN-03-00236</x:v>
      </x:c>
      <x:c r="C237" t="str">
        <x:v>Automation component 236 / 零件 236</x:v>
      </x:c>
      <x:c r="D237" s="8" t="n">
        <x:v>16</x:v>
      </x:c>
      <x:c r="E237" s="8" t="n">
        <x:v>98.4</x:v>
      </x:c>
      <x:c r="F237" s="8" t="n">
        <x:f>D237*E237</x:f>
        <x:v>1574.4</x:v>
      </x:c>
      <x:c r="G237" t="str">
        <x:v>Hold</x:v>
      </x:c>
      <x:c r="H237" t="str">
        <x:v>Production</x:v>
      </x:c>
      <x:c r="I237" s="10" t="n">
        <x:v>46259</x:v>
      </x:c>
      <x:c r="J237" t="n">
        <x:f>F237-ROUND(F237*0.97,2)</x:f>
        <x:v>47.23000000000002</x:v>
      </x:c>
    </x:row>
    <x:row r="238">
      <x:c r="A238" t="n">
        <x:v>237</x:v>
      </x:c>
      <x:c r="B238" t="str">
        <x:v>PN-03-00237</x:v>
      </x:c>
      <x:c r="C238" t="str">
        <x:v>Automation component 237 / 零件 237</x:v>
      </x:c>
      <x:c r="D238" s="8" t="n">
        <x:v>17</x:v>
      </x:c>
      <x:c r="E238" s="8" t="n">
        <x:v>99.77</x:v>
      </x:c>
      <x:c r="F238" s="8" t="n">
        <x:f>D238*E238</x:f>
        <x:v>1696.09</x:v>
      </x:c>
      <x:c r="G238" t="str">
        <x:v>Open</x:v>
      </x:c>
      <x:c r="H238" t="str">
        <x:v>Engineering</x:v>
      </x:c>
      <x:c r="I238" s="10" t="n">
        <x:v>46260</x:v>
      </x:c>
      <x:c r="J238" t="n">
        <x:f>F238-ROUND(F238*0.97,2)</x:f>
        <x:v>50.87999999999988</x:v>
      </x:c>
    </x:row>
    <x:row r="239">
      <x:c r="A239" t="n">
        <x:v>238</x:v>
      </x:c>
      <x:c r="B239" t="str">
        <x:v>PN-03-00238</x:v>
      </x:c>
      <x:c r="C239" t="str">
        <x:v>Automation component 238 / 零件 238</x:v>
      </x:c>
      <x:c r="D239" s="8" t="n">
        <x:v>1</x:v>
      </x:c>
      <x:c r="E239" s="8" t="n">
        <x:v>101.14</x:v>
      </x:c>
      <x:c r="F239" s="8" t="n">
        <x:f>D239*E239</x:f>
        <x:v>101.14</x:v>
      </x:c>
      <x:c r="G239" t="str">
        <x:v>Approved</x:v>
      </x:c>
      <x:c r="H239" t="str">
        <x:v>Quality</x:v>
      </x:c>
      <x:c r="I239" s="10" t="n">
        <x:v>46261</x:v>
      </x:c>
      <x:c r="J239" t="n">
        <x:f>F239-ROUND(F239*0.97,2)</x:f>
        <x:v>3.030000000000001</x:v>
      </x:c>
    </x:row>
    <x:row r="240">
      <x:c r="A240" t="n">
        <x:v>239</x:v>
      </x:c>
      <x:c r="B240" t="str">
        <x:v>PN-03-00239</x:v>
      </x:c>
      <x:c r="C240" t="str">
        <x:v>Automation component 239 / 零件 239</x:v>
      </x:c>
      <x:c r="D240" s="8" t="n">
        <x:v>2</x:v>
      </x:c>
      <x:c r="E240" s="8" t="n">
        <x:v>102.51</x:v>
      </x:c>
      <x:c r="F240" s="8" t="n">
        <x:f>D240*E240</x:f>
        <x:v>205.02</x:v>
      </x:c>
      <x:c r="G240" t="str">
        <x:v>Hold</x:v>
      </x:c>
      <x:c r="H240" t="str">
        <x:v>Production</x:v>
      </x:c>
      <x:c r="I240" s="10" t="n">
        <x:v>46262</x:v>
      </x:c>
      <x:c r="J240" t="n">
        <x:f>F240-ROUND(F240*0.97,2)</x:f>
        <x:v>6.150000000000006</x:v>
      </x:c>
    </x:row>
    <x:row r="241">
      <x:c r="A241" t="n">
        <x:v>240</x:v>
      </x:c>
      <x:c r="B241" t="str">
        <x:v>PN-03-00240</x:v>
      </x:c>
      <x:c r="C241" t="str">
        <x:v>Automation component 240 / 零件 240</x:v>
      </x:c>
      <x:c r="D241" s="8" t="n">
        <x:v>3</x:v>
      </x:c>
      <x:c r="E241" s="8" t="n">
        <x:v>103.88</x:v>
      </x:c>
      <x:c r="F241" s="8" t="n">
        <x:f>D241*E241</x:f>
        <x:v>311.64</x:v>
      </x:c>
      <x:c r="G241" t="str">
        <x:v>Open</x:v>
      </x:c>
      <x:c r="H241" t="str">
        <x:v>Engineering</x:v>
      </x:c>
      <x:c r="I241" s="10" t="n">
        <x:v>46263</x:v>
      </x:c>
      <x:c r="J241" t="n">
        <x:f>F241-ROUND(F241*0.97,2)</x:f>
        <x:v>9.349999999999966</x:v>
      </x:c>
    </x:row>
    <x:row r="242">
      <x:c r="A242" t="n">
        <x:v>241</x:v>
      </x:c>
      <x:c r="B242" t="str">
        <x:v>PN-03-00241</x:v>
      </x:c>
      <x:c r="C242" t="str">
        <x:v>Automation component 241 / 零件 241</x:v>
      </x:c>
      <x:c r="D242" s="8" t="n">
        <x:v>4</x:v>
      </x:c>
      <x:c r="E242" s="8" t="n">
        <x:v>105.25</x:v>
      </x:c>
      <x:c r="F242" s="8" t="n">
        <x:f>D242*E242</x:f>
        <x:v>421</x:v>
      </x:c>
      <x:c r="G242" t="str">
        <x:v>Approved</x:v>
      </x:c>
      <x:c r="H242" t="str">
        <x:v>Quality</x:v>
      </x:c>
      <x:c r="I242" s="10" t="n">
        <x:v>46264</x:v>
      </x:c>
      <x:c r="J242" t="n">
        <x:f>F242-ROUND(F242*0.97,2)</x:f>
        <x:v>12.629999999999995</x:v>
      </x:c>
    </x:row>
    <x:row r="243">
      <x:c r="A243" t="n">
        <x:v>242</x:v>
      </x:c>
      <x:c r="B243" t="str">
        <x:v>PN-03-00242</x:v>
      </x:c>
      <x:c r="C243" t="str">
        <x:v>Automation component 242 / 零件 242</x:v>
      </x:c>
      <x:c r="D243" s="8" t="n">
        <x:v>5</x:v>
      </x:c>
      <x:c r="E243" s="8" t="n">
        <x:v>106.62</x:v>
      </x:c>
      <x:c r="F243" s="8" t="n">
        <x:f>D243*E243</x:f>
        <x:v>533.1</x:v>
      </x:c>
      <x:c r="G243" t="str">
        <x:v>Hold</x:v>
      </x:c>
      <x:c r="H243" t="str">
        <x:v>Production</x:v>
      </x:c>
      <x:c r="I243" s="10" t="n">
        <x:v>46265</x:v>
      </x:c>
      <x:c r="J243" t="n">
        <x:f>F243-ROUND(F243*0.97,2)</x:f>
        <x:v>15.990000000000009</x:v>
      </x:c>
    </x:row>
    <x:row r="244">
      <x:c r="A244" t="n">
        <x:v>243</x:v>
      </x:c>
      <x:c r="B244" t="str">
        <x:v>PN-03-00243</x:v>
      </x:c>
      <x:c r="C244" t="str">
        <x:v>Automation component 243 / 零件 243</x:v>
      </x:c>
      <x:c r="D244" s="8" t="n">
        <x:v>6</x:v>
      </x:c>
      <x:c r="E244" s="8" t="n">
        <x:v>107.99</x:v>
      </x:c>
      <x:c r="F244" s="8" t="n">
        <x:f>D244*E244</x:f>
        <x:v>647.9399999999999</x:v>
      </x:c>
      <x:c r="G244" t="str">
        <x:v>Open</x:v>
      </x:c>
      <x:c r="H244" t="str">
        <x:v>Engineering</x:v>
      </x:c>
      <x:c r="I244" s="10" t="n">
        <x:v>46266</x:v>
      </x:c>
      <x:c r="J244" t="n">
        <x:f>F244-ROUND(F244*0.97,2)</x:f>
        <x:v>19.43999999999994</x:v>
      </x:c>
    </x:row>
    <x:row r="245">
      <x:c r="A245" t="n">
        <x:v>244</x:v>
      </x:c>
      <x:c r="B245" t="str">
        <x:v>PN-03-00244</x:v>
      </x:c>
      <x:c r="C245" t="str">
        <x:v>Automation component 244 / 零件 244</x:v>
      </x:c>
      <x:c r="D245" s="8" t="n">
        <x:v>7</x:v>
      </x:c>
      <x:c r="E245" s="8" t="n">
        <x:v>109.36</x:v>
      </x:c>
      <x:c r="F245" s="8" t="n">
        <x:f>D245*E245</x:f>
        <x:v>765.52</x:v>
      </x:c>
      <x:c r="G245" t="str">
        <x:v>Approved</x:v>
      </x:c>
      <x:c r="H245" t="str">
        <x:v>Quality</x:v>
      </x:c>
      <x:c r="I245" s="10" t="n">
        <x:v>46267</x:v>
      </x:c>
      <x:c r="J245" t="n">
        <x:f>F245-ROUND(F245*0.97,2)</x:f>
        <x:v>22.970000000000027</x:v>
      </x:c>
    </x:row>
    <x:row r="246">
      <x:c r="A246" t="n">
        <x:v>245</x:v>
      </x:c>
      <x:c r="B246" t="str">
        <x:v>PN-03-00245</x:v>
      </x:c>
      <x:c r="C246" t="str">
        <x:v>Automation component 245 / 零件 245</x:v>
      </x:c>
      <x:c r="D246" s="8" t="n">
        <x:v>8</x:v>
      </x:c>
      <x:c r="E246" s="8" t="n">
        <x:v>110.73</x:v>
      </x:c>
      <x:c r="F246" s="8" t="n">
        <x:f>D246*E246</x:f>
        <x:v>885.84</x:v>
      </x:c>
      <x:c r="G246" t="str">
        <x:v>Hold</x:v>
      </x:c>
      <x:c r="H246" t="str">
        <x:v>Production</x:v>
      </x:c>
      <x:c r="I246" s="10" t="n">
        <x:v>46268</x:v>
      </x:c>
      <x:c r="J246" t="n">
        <x:f>F246-ROUND(F246*0.97,2)</x:f>
        <x:v>26.58000000000004</x:v>
      </x:c>
    </x:row>
    <x:row r="247">
      <x:c r="A247" t="n">
        <x:v>246</x:v>
      </x:c>
      <x:c r="B247" t="str">
        <x:v>PN-03-00246</x:v>
      </x:c>
      <x:c r="C247" t="str">
        <x:v>Automation component 246 / 零件 246</x:v>
      </x:c>
      <x:c r="D247" s="8" t="n">
        <x:v>9</x:v>
      </x:c>
      <x:c r="E247" s="8" t="n">
        <x:v>112.1</x:v>
      </x:c>
      <x:c r="F247" s="8" t="n">
        <x:f>D247*E247</x:f>
        <x:v>1008.9</x:v>
      </x:c>
      <x:c r="G247" t="str">
        <x:v>Open</x:v>
      </x:c>
      <x:c r="H247" t="str">
        <x:v>Engineering</x:v>
      </x:c>
      <x:c r="I247" s="10" t="n">
        <x:v>46269</x:v>
      </x:c>
      <x:c r="J247" t="n">
        <x:f>F247-ROUND(F247*0.97,2)</x:f>
        <x:v>30.269999999999982</x:v>
      </x:c>
    </x:row>
    <x:row r="248">
      <x:c r="A248" t="n">
        <x:v>247</x:v>
      </x:c>
      <x:c r="B248" t="str">
        <x:v>PN-03-00247</x:v>
      </x:c>
      <x:c r="C248" t="str">
        <x:v>Automation component 247 / 零件 247</x:v>
      </x:c>
      <x:c r="D248" s="8" t="n">
        <x:v>10</x:v>
      </x:c>
      <x:c r="E248" s="8" t="n">
        <x:v>113.47</x:v>
      </x:c>
      <x:c r="F248" s="8" t="n">
        <x:f>D248*E248</x:f>
        <x:v>1134.7</x:v>
      </x:c>
      <x:c r="G248" t="str">
        <x:v>Approved</x:v>
      </x:c>
      <x:c r="H248" t="str">
        <x:v>Quality</x:v>
      </x:c>
      <x:c r="I248" s="10" t="n">
        <x:v>46270</x:v>
      </x:c>
      <x:c r="J248" t="n">
        <x:f>F248-ROUND(F248*0.97,2)</x:f>
        <x:v>34.039999999999964</x:v>
      </x:c>
    </x:row>
    <x:row r="249">
      <x:c r="A249" t="n">
        <x:v>248</x:v>
      </x:c>
      <x:c r="B249" t="str">
        <x:v>PN-03-00248</x:v>
      </x:c>
      <x:c r="C249" t="str">
        <x:v>Automation component 248 / 零件 248</x:v>
      </x:c>
      <x:c r="D249" s="8" t="n">
        <x:v>11</x:v>
      </x:c>
      <x:c r="E249" s="8" t="n">
        <x:v>114.84</x:v>
      </x:c>
      <x:c r="F249" s="8" t="n">
        <x:f>D249*E249</x:f>
        <x:v>1263.24</x:v>
      </x:c>
      <x:c r="G249" t="str">
        <x:v>Hold</x:v>
      </x:c>
      <x:c r="H249" t="str">
        <x:v>Production</x:v>
      </x:c>
      <x:c r="I249" s="10" t="n">
        <x:v>46271</x:v>
      </x:c>
      <x:c r="J249" t="n">
        <x:f>F249-ROUND(F249*0.97,2)</x:f>
        <x:v>37.90000000000009</x:v>
      </x:c>
    </x:row>
    <x:row r="250">
      <x:c r="A250" t="n">
        <x:v>249</x:v>
      </x:c>
      <x:c r="B250" t="str">
        <x:v>PN-03-00249</x:v>
      </x:c>
      <x:c r="C250" t="str">
        <x:v>Automation component 249 / 零件 249</x:v>
      </x:c>
      <x:c r="D250" s="8" t="n">
        <x:v>12</x:v>
      </x:c>
      <x:c r="E250" s="8" t="n">
        <x:v>2.5</x:v>
      </x:c>
      <x:c r="F250" s="8" t="n">
        <x:f>D250*E250</x:f>
        <x:v>30</x:v>
      </x:c>
      <x:c r="G250" t="str">
        <x:v>Open</x:v>
      </x:c>
      <x:c r="H250" t="str">
        <x:v>Engineering</x:v>
      </x:c>
      <x:c r="I250" s="10" t="n">
        <x:v>46272</x:v>
      </x:c>
      <x:c r="J250" t="n">
        <x:f>F250-ROUND(F250*0.97,2)</x:f>
        <x:v>0.8999999999999986</x:v>
      </x:c>
    </x:row>
    <x:row r="251">
      <x:c r="A251" t="n">
        <x:v>250</x:v>
      </x:c>
      <x:c r="B251" t="str">
        <x:v>PN-03-00250</x:v>
      </x:c>
      <x:c r="C251" t="str">
        <x:v>Automation component 250 / 零件 250</x:v>
      </x:c>
      <x:c r="D251" s="8" t="n">
        <x:v>13</x:v>
      </x:c>
      <x:c r="E251" s="8" t="n">
        <x:v>3.87</x:v>
      </x:c>
      <x:c r="F251" s="8" t="n">
        <x:f>D251*E251</x:f>
        <x:v>50.31</x:v>
      </x:c>
      <x:c r="G251" t="str">
        <x:v>Approved</x:v>
      </x:c>
      <x:c r="H251" t="str">
        <x:v>Quality</x:v>
      </x:c>
      <x:c r="I251" s="10" t="n">
        <x:v>46273</x:v>
      </x:c>
      <x:c r="J251" t="n">
        <x:f>F251-ROUND(F251*0.97,2)</x:f>
        <x:v>1.5100000000000051</x:v>
      </x:c>
    </x:row>
    <x:row r="252">
      <x:c r="A252" t="n">
        <x:v>251</x:v>
      </x:c>
      <x:c r="B252" t="str">
        <x:v>PN-03-00251</x:v>
      </x:c>
      <x:c r="C252" t="str">
        <x:v>Automation component 251 / 零件 251</x:v>
      </x:c>
      <x:c r="D252" s="8" t="n">
        <x:v>14</x:v>
      </x:c>
      <x:c r="E252" s="8" t="n">
        <x:v>5.24</x:v>
      </x:c>
      <x:c r="F252" s="8" t="n">
        <x:f>D252*E252</x:f>
        <x:v>73.36</x:v>
      </x:c>
      <x:c r="G252" t="str">
        <x:v>Hold</x:v>
      </x:c>
      <x:c r="H252" t="str">
        <x:v>Production</x:v>
      </x:c>
      <x:c r="I252" s="10" t="n">
        <x:v>46274</x:v>
      </x:c>
      <x:c r="J252" t="n">
        <x:f>F252-ROUND(F252*0.97,2)</x:f>
        <x:v>2.200000000000003</x:v>
      </x:c>
    </x:row>
    <x:row r="253">
      <x:c r="A253" t="n">
        <x:v>252</x:v>
      </x:c>
      <x:c r="B253" t="str">
        <x:v>PN-03-00252</x:v>
      </x:c>
      <x:c r="C253" t="str">
        <x:v>Automation component 252 / 零件 252</x:v>
      </x:c>
      <x:c r="D253" s="8" t="n">
        <x:v>15</x:v>
      </x:c>
      <x:c r="E253" s="8" t="n">
        <x:v>6.61</x:v>
      </x:c>
      <x:c r="F253" s="8" t="n">
        <x:f>D253*E253</x:f>
        <x:v>99.15</x:v>
      </x:c>
      <x:c r="G253" t="str">
        <x:v>Open</x:v>
      </x:c>
      <x:c r="H253" t="str">
        <x:v>Engineering</x:v>
      </x:c>
      <x:c r="I253" s="10" t="n">
        <x:v>46275</x:v>
      </x:c>
      <x:c r="J253" t="n">
        <x:f>F253-ROUND(F253*0.97,2)</x:f>
        <x:v>2.969999999999999</x:v>
      </x:c>
    </x:row>
    <x:row r="254">
      <x:c r="A254" t="n">
        <x:v>253</x:v>
      </x:c>
      <x:c r="B254" t="str">
        <x:v>PN-03-00253</x:v>
      </x:c>
      <x:c r="C254" t="str">
        <x:v>Automation component 253 / 零件 253</x:v>
      </x:c>
      <x:c r="D254" s="8" t="n">
        <x:v>16</x:v>
      </x:c>
      <x:c r="E254" s="8" t="n">
        <x:v>7.98</x:v>
      </x:c>
      <x:c r="F254" s="8" t="n">
        <x:f>D254*E254</x:f>
        <x:v>127.68</x:v>
      </x:c>
      <x:c r="G254" t="str">
        <x:v>Approved</x:v>
      </x:c>
      <x:c r="H254" t="str">
        <x:v>Quality</x:v>
      </x:c>
      <x:c r="I254" s="10" t="n">
        <x:v>46276</x:v>
      </x:c>
      <x:c r="J254" t="n">
        <x:f>F254-ROUND(F254*0.97,2)</x:f>
        <x:v>3.8300000000000125</x:v>
      </x:c>
    </x:row>
    <x:row r="255">
      <x:c r="A255" t="n">
        <x:v>254</x:v>
      </x:c>
      <x:c r="B255" t="str">
        <x:v>PN-03-00254</x:v>
      </x:c>
      <x:c r="C255" t="str">
        <x:v>Automation component 254 / 零件 254</x:v>
      </x:c>
      <x:c r="D255" s="8" t="n">
        <x:v>17</x:v>
      </x:c>
      <x:c r="E255" s="8" t="n">
        <x:v>9.35</x:v>
      </x:c>
      <x:c r="F255" s="8" t="n">
        <x:f>D255*E255</x:f>
        <x:v>158.95</x:v>
      </x:c>
      <x:c r="G255" t="str">
        <x:v>Hold</x:v>
      </x:c>
      <x:c r="H255" t="str">
        <x:v>Production</x:v>
      </x:c>
      <x:c r="I255" s="10" t="n">
        <x:v>46277</x:v>
      </x:c>
      <x:c r="J255" t="n">
        <x:f>F255-ROUND(F255*0.97,2)</x:f>
        <x:v>4.769999999999982</x:v>
      </x:c>
    </x:row>
    <x:row r="256">
      <x:c r="A256" t="n">
        <x:v>255</x:v>
      </x:c>
      <x:c r="B256" t="str">
        <x:v>PN-03-00255</x:v>
      </x:c>
      <x:c r="C256" t="str">
        <x:v>Automation component 255 / 零件 255</x:v>
      </x:c>
      <x:c r="D256" s="8" t="n">
        <x:v>1</x:v>
      </x:c>
      <x:c r="E256" s="8" t="n">
        <x:v>10.72</x:v>
      </x:c>
      <x:c r="F256" s="8" t="n">
        <x:f>D256*E256</x:f>
        <x:v>10.72</x:v>
      </x:c>
      <x:c r="G256" t="str">
        <x:v>Open</x:v>
      </x:c>
      <x:c r="H256" t="str">
        <x:v>Engineering</x:v>
      </x:c>
      <x:c r="I256" s="10" t="n">
        <x:v>46278</x:v>
      </x:c>
      <x:c r="J256" t="n">
        <x:f>F256-ROUND(F256*0.97,2)</x:f>
        <x:v>0.3200000000000003</x:v>
      </x:c>
    </x:row>
    <x:row r="257">
      <x:c r="A257" t="n">
        <x:v>256</x:v>
      </x:c>
      <x:c r="B257" t="str">
        <x:v>PN-03-00256</x:v>
      </x:c>
      <x:c r="C257" t="str">
        <x:v>Automation component 256 / 零件 256</x:v>
      </x:c>
      <x:c r="D257" s="8" t="n">
        <x:v>2</x:v>
      </x:c>
      <x:c r="E257" s="8" t="n">
        <x:v>12.09</x:v>
      </x:c>
      <x:c r="F257" s="8" t="n">
        <x:f>D257*E257</x:f>
        <x:v>24.18</x:v>
      </x:c>
      <x:c r="G257" t="str">
        <x:v>Approved</x:v>
      </x:c>
      <x:c r="H257" t="str">
        <x:v>Quality</x:v>
      </x:c>
      <x:c r="I257" s="10" t="n">
        <x:v>46279</x:v>
      </x:c>
      <x:c r="J257" t="n">
        <x:f>F257-ROUND(F257*0.97,2)</x:f>
        <x:v>0.7300000000000004</x:v>
      </x:c>
    </x:row>
    <x:row r="258">
      <x:c r="A258" t="n">
        <x:v>257</x:v>
      </x:c>
      <x:c r="B258" t="str">
        <x:v>PN-03-00257</x:v>
      </x:c>
      <x:c r="C258" t="str">
        <x:v>Automation component 257 / 零件 257</x:v>
      </x:c>
      <x:c r="D258" s="8" t="n">
        <x:v>3</x:v>
      </x:c>
      <x:c r="E258" s="8" t="n">
        <x:v>13.46</x:v>
      </x:c>
      <x:c r="F258" s="8" t="n">
        <x:f>D258*E258</x:f>
        <x:v>40.38</x:v>
      </x:c>
      <x:c r="G258" t="str">
        <x:v>Hold</x:v>
      </x:c>
      <x:c r="H258" t="str">
        <x:v>Production</x:v>
      </x:c>
      <x:c r="I258" s="10" t="n">
        <x:v>46280</x:v>
      </x:c>
      <x:c r="J258" t="n">
        <x:f>F258-ROUND(F258*0.97,2)</x:f>
        <x:v>1.2100000000000009</x:v>
      </x:c>
    </x:row>
    <x:row r="259">
      <x:c r="A259" t="n">
        <x:v>258</x:v>
      </x:c>
      <x:c r="B259" t="str">
        <x:v>PN-03-00258</x:v>
      </x:c>
      <x:c r="C259" t="str">
        <x:v>Automation component 258 / 零件 258</x:v>
      </x:c>
      <x:c r="D259" s="8" t="n">
        <x:v>4</x:v>
      </x:c>
      <x:c r="E259" s="8" t="n">
        <x:v>14.83</x:v>
      </x:c>
      <x:c r="F259" s="8" t="n">
        <x:f>D259*E259</x:f>
        <x:v>59.32</x:v>
      </x:c>
      <x:c r="G259" t="str">
        <x:v>Open</x:v>
      </x:c>
      <x:c r="H259" t="str">
        <x:v>Engineering</x:v>
      </x:c>
      <x:c r="I259" s="10" t="n">
        <x:v>46281</x:v>
      </x:c>
      <x:c r="J259" t="n">
        <x:f>F259-ROUND(F259*0.97,2)</x:f>
        <x:v>1.7800000000000011</x:v>
      </x:c>
    </x:row>
    <x:row r="260">
      <x:c r="A260" t="n">
        <x:v>259</x:v>
      </x:c>
      <x:c r="B260" t="str">
        <x:v>PN-03-00259</x:v>
      </x:c>
      <x:c r="C260" t="str">
        <x:v>Automation component 259 / 零件 259</x:v>
      </x:c>
      <x:c r="D260" s="8" t="n">
        <x:v>5</x:v>
      </x:c>
      <x:c r="E260" s="8" t="n">
        <x:v>16.2</x:v>
      </x:c>
      <x:c r="F260" s="8" t="n">
        <x:f>D260*E260</x:f>
        <x:v>81</x:v>
      </x:c>
      <x:c r="G260" t="str">
        <x:v>Approved</x:v>
      </x:c>
      <x:c r="H260" t="str">
        <x:v>Quality</x:v>
      </x:c>
      <x:c r="I260" s="10" t="n">
        <x:v>46282</x:v>
      </x:c>
      <x:c r="J260" t="n">
        <x:f>F260-ROUND(F260*0.97,2)</x:f>
        <x:v>2.430000000000007</x:v>
      </x:c>
    </x:row>
    <x:row r="261">
      <x:c r="A261" t="n">
        <x:v>260</x:v>
      </x:c>
      <x:c r="B261" t="str">
        <x:v>PN-03-00260</x:v>
      </x:c>
      <x:c r="C261" t="str">
        <x:v>Automation component 260 / 零件 260</x:v>
      </x:c>
      <x:c r="D261" s="8" t="n">
        <x:v>6</x:v>
      </x:c>
      <x:c r="E261" s="8" t="n">
        <x:v>17.57</x:v>
      </x:c>
      <x:c r="F261" s="8" t="n">
        <x:f>D261*E261</x:f>
        <x:v>105.42</x:v>
      </x:c>
      <x:c r="G261" t="str">
        <x:v>Hold</x:v>
      </x:c>
      <x:c r="H261" t="str">
        <x:v>Production</x:v>
      </x:c>
      <x:c r="I261" s="10" t="n">
        <x:v>46283</x:v>
      </x:c>
      <x:c r="J261" t="n">
        <x:f>F261-ROUND(F261*0.97,2)</x:f>
        <x:v>3.1599999999999966</x:v>
      </x:c>
    </x:row>
    <x:row r="262">
      <x:c r="A262" t="n">
        <x:v>261</x:v>
      </x:c>
      <x:c r="B262" t="str">
        <x:v>PN-03-00261</x:v>
      </x:c>
      <x:c r="C262" t="str">
        <x:v>Automation component 261 / 零件 261</x:v>
      </x:c>
      <x:c r="D262" s="8" t="n">
        <x:v>7</x:v>
      </x:c>
      <x:c r="E262" s="8" t="n">
        <x:v>18.94</x:v>
      </x:c>
      <x:c r="F262" s="8" t="n">
        <x:f>D262*E262</x:f>
        <x:v>132.58</x:v>
      </x:c>
      <x:c r="G262" t="str">
        <x:v>Open</x:v>
      </x:c>
      <x:c r="H262" t="str">
        <x:v>Engineering</x:v>
      </x:c>
      <x:c r="I262" s="10" t="n">
        <x:v>46284</x:v>
      </x:c>
      <x:c r="J262" t="n">
        <x:f>F262-ROUND(F262*0.97,2)</x:f>
        <x:v>3.980000000000018</x:v>
      </x:c>
    </x:row>
    <x:row r="263">
      <x:c r="A263" t="n">
        <x:v>262</x:v>
      </x:c>
      <x:c r="B263" t="str">
        <x:v>PN-03-00262</x:v>
      </x:c>
      <x:c r="C263" t="str">
        <x:v>Automation component 262 / 零件 262</x:v>
      </x:c>
      <x:c r="D263" s="8" t="n">
        <x:v>8</x:v>
      </x:c>
      <x:c r="E263" s="8" t="n">
        <x:v>20.31</x:v>
      </x:c>
      <x:c r="F263" s="8" t="n">
        <x:f>D263*E263</x:f>
        <x:v>162.48</x:v>
      </x:c>
      <x:c r="G263" t="str">
        <x:v>Approved</x:v>
      </x:c>
      <x:c r="H263" t="str">
        <x:v>Quality</x:v>
      </x:c>
      <x:c r="I263" s="10" t="n">
        <x:v>46285</x:v>
      </x:c>
      <x:c r="J263" t="n">
        <x:f>F263-ROUND(F263*0.97,2)</x:f>
        <x:v>4.869999999999976</x:v>
      </x:c>
    </x:row>
    <x:row r="264">
      <x:c r="A264" t="n">
        <x:v>263</x:v>
      </x:c>
      <x:c r="B264" t="str">
        <x:v>PN-03-00263</x:v>
      </x:c>
      <x:c r="C264" t="str">
        <x:v>Automation component 263 / 零件 263</x:v>
      </x:c>
      <x:c r="D264" s="8" t="n">
        <x:v>9</x:v>
      </x:c>
      <x:c r="E264" s="8" t="n">
        <x:v>21.68</x:v>
      </x:c>
      <x:c r="F264" s="8" t="n">
        <x:f>D264*E264</x:f>
        <x:v>195.12</x:v>
      </x:c>
      <x:c r="G264" t="str">
        <x:v>Hold</x:v>
      </x:c>
      <x:c r="H264" t="str">
        <x:v>Production</x:v>
      </x:c>
      <x:c r="I264" s="10" t="n">
        <x:v>46286</x:v>
      </x:c>
      <x:c r="J264" t="n">
        <x:f>F264-ROUND(F264*0.97,2)</x:f>
        <x:v>5.849999999999994</x:v>
      </x:c>
    </x:row>
    <x:row r="265">
      <x:c r="A265" t="n">
        <x:v>264</x:v>
      </x:c>
      <x:c r="B265" t="str">
        <x:v>PN-03-00264</x:v>
      </x:c>
      <x:c r="C265" t="str">
        <x:v>Automation component 264 / 零件 264</x:v>
      </x:c>
      <x:c r="D265" s="8" t="n">
        <x:v>10</x:v>
      </x:c>
      <x:c r="E265" s="8" t="n">
        <x:v>23.05</x:v>
      </x:c>
      <x:c r="F265" s="8" t="n">
        <x:f>D265*E265</x:f>
        <x:v>230.5</x:v>
      </x:c>
      <x:c r="G265" t="str">
        <x:v>Open</x:v>
      </x:c>
      <x:c r="H265" t="str">
        <x:v>Engineering</x:v>
      </x:c>
      <x:c r="I265" s="10" t="n">
        <x:v>46287</x:v>
      </x:c>
      <x:c r="J265" t="n">
        <x:f>F265-ROUND(F265*0.97,2)</x:f>
        <x:v>6.909999999999997</x:v>
      </x:c>
    </x:row>
    <x:row r="266">
      <x:c r="A266" t="n">
        <x:v>265</x:v>
      </x:c>
      <x:c r="B266" t="str">
        <x:v>PN-03-00265</x:v>
      </x:c>
      <x:c r="C266" t="str">
        <x:v>Automation component 265 / 零件 265</x:v>
      </x:c>
      <x:c r="D266" s="8" t="n">
        <x:v>11</x:v>
      </x:c>
      <x:c r="E266" s="8" t="n">
        <x:v>24.42</x:v>
      </x:c>
      <x:c r="F266" s="8" t="n">
        <x:f>D266*E266</x:f>
        <x:v>268.62</x:v>
      </x:c>
      <x:c r="G266" t="str">
        <x:v>Approved</x:v>
      </x:c>
      <x:c r="H266" t="str">
        <x:v>Quality</x:v>
      </x:c>
      <x:c r="I266" s="10" t="n">
        <x:v>46288</x:v>
      </x:c>
      <x:c r="J266" t="n">
        <x:f>F266-ROUND(F266*0.97,2)</x:f>
        <x:v>8.060000000000002</x:v>
      </x:c>
    </x:row>
    <x:row r="267">
      <x:c r="A267" t="n">
        <x:v>266</x:v>
      </x:c>
      <x:c r="B267" t="str">
        <x:v>PN-03-00266</x:v>
      </x:c>
      <x:c r="C267" t="str">
        <x:v>Automation component 266 / 零件 266</x:v>
      </x:c>
      <x:c r="D267" s="8" t="n">
        <x:v>12</x:v>
      </x:c>
      <x:c r="E267" s="8" t="n">
        <x:v>25.79</x:v>
      </x:c>
      <x:c r="F267" s="8" t="n">
        <x:f>D267*E267</x:f>
        <x:v>309.48</x:v>
      </x:c>
      <x:c r="G267" t="str">
        <x:v>Hold</x:v>
      </x:c>
      <x:c r="H267" t="str">
        <x:v>Production</x:v>
      </x:c>
      <x:c r="I267" s="10" t="n">
        <x:v>46289</x:v>
      </x:c>
      <x:c r="J267" t="n">
        <x:f>F267-ROUND(F267*0.97,2)</x:f>
        <x:v>9.28000000000003</x:v>
      </x:c>
    </x:row>
    <x:row r="268">
      <x:c r="A268" t="n">
        <x:v>267</x:v>
      </x:c>
      <x:c r="B268" t="str">
        <x:v>PN-03-00267</x:v>
      </x:c>
      <x:c r="C268" t="str">
        <x:v>Automation component 267 / 零件 267</x:v>
      </x:c>
      <x:c r="D268" s="8" t="n">
        <x:v>13</x:v>
      </x:c>
      <x:c r="E268" s="8" t="n">
        <x:v>27.16</x:v>
      </x:c>
      <x:c r="F268" s="8" t="n">
        <x:f>D268*E268</x:f>
        <x:v>353.08</x:v>
      </x:c>
      <x:c r="G268" t="str">
        <x:v>Open</x:v>
      </x:c>
      <x:c r="H268" t="str">
        <x:v>Engineering</x:v>
      </x:c>
      <x:c r="I268" s="10" t="n">
        <x:v>46290</x:v>
      </x:c>
      <x:c r="J268" t="n">
        <x:f>F268-ROUND(F268*0.97,2)</x:f>
        <x:v>10.589999999999975</x:v>
      </x:c>
    </x:row>
    <x:row r="269">
      <x:c r="A269" t="n">
        <x:v>268</x:v>
      </x:c>
      <x:c r="B269" t="str">
        <x:v>PN-03-00268</x:v>
      </x:c>
      <x:c r="C269" t="str">
        <x:v>Automation component 268 / 零件 268</x:v>
      </x:c>
      <x:c r="D269" s="8" t="n">
        <x:v>14</x:v>
      </x:c>
      <x:c r="E269" s="8" t="n">
        <x:v>28.53</x:v>
      </x:c>
      <x:c r="F269" s="8" t="n">
        <x:f>D269*E269</x:f>
        <x:v>399.42</x:v>
      </x:c>
      <x:c r="G269" t="str">
        <x:v>Approved</x:v>
      </x:c>
      <x:c r="H269" t="str">
        <x:v>Quality</x:v>
      </x:c>
      <x:c r="I269" s="10" t="n">
        <x:v>46291</x:v>
      </x:c>
      <x:c r="J269" t="n">
        <x:f>F269-ROUND(F269*0.97,2)</x:f>
        <x:v>11.980000000000018</x:v>
      </x:c>
    </x:row>
    <x:row r="270">
      <x:c r="A270" t="n">
        <x:v>269</x:v>
      </x:c>
      <x:c r="B270" t="str">
        <x:v>PN-03-00269</x:v>
      </x:c>
      <x:c r="C270" t="str">
        <x:v>Automation component 269 / 零件 269</x:v>
      </x:c>
      <x:c r="D270" s="8" t="n">
        <x:v>15</x:v>
      </x:c>
      <x:c r="E270" s="8" t="n">
        <x:v>29.9</x:v>
      </x:c>
      <x:c r="F270" s="8" t="n">
        <x:f>D270*E270</x:f>
        <x:v>448.5</x:v>
      </x:c>
      <x:c r="G270" t="str">
        <x:v>Hold</x:v>
      </x:c>
      <x:c r="H270" t="str">
        <x:v>Production</x:v>
      </x:c>
      <x:c r="I270" s="10" t="n">
        <x:v>46292</x:v>
      </x:c>
      <x:c r="J270" t="n">
        <x:f>F270-ROUND(F270*0.97,2)</x:f>
        <x:v>13.449999999999989</x:v>
      </x:c>
    </x:row>
    <x:row r="271">
      <x:c r="A271" t="n">
        <x:v>270</x:v>
      </x:c>
      <x:c r="B271" t="str">
        <x:v>PN-03-00270</x:v>
      </x:c>
      <x:c r="C271" t="str">
        <x:v>Automation component 270 / 零件 270</x:v>
      </x:c>
      <x:c r="D271" s="8" t="n">
        <x:v>16</x:v>
      </x:c>
      <x:c r="E271" s="8" t="n">
        <x:v>31.27</x:v>
      </x:c>
      <x:c r="F271" s="8" t="n">
        <x:f>D271*E271</x:f>
        <x:v>500.32</x:v>
      </x:c>
      <x:c r="G271" t="str">
        <x:v>Open</x:v>
      </x:c>
      <x:c r="H271" t="str">
        <x:v>Engineering</x:v>
      </x:c>
      <x:c r="I271" s="10" t="n">
        <x:v>46293</x:v>
      </x:c>
      <x:c r="J271" t="n">
        <x:f>F271-ROUND(F271*0.97,2)</x:f>
        <x:v>15.009999999999991</x:v>
      </x:c>
    </x:row>
    <x:row r="272">
      <x:c r="A272" t="n">
        <x:v>271</x:v>
      </x:c>
      <x:c r="B272" t="str">
        <x:v>PN-03-00271</x:v>
      </x:c>
      <x:c r="C272" t="str">
        <x:v>Automation component 271 / 零件 271</x:v>
      </x:c>
      <x:c r="D272" s="8" t="n">
        <x:v>17</x:v>
      </x:c>
      <x:c r="E272" s="8" t="n">
        <x:v>32.64</x:v>
      </x:c>
      <x:c r="F272" s="8" t="n">
        <x:f>D272*E272</x:f>
        <x:v>554.88</x:v>
      </x:c>
      <x:c r="G272" t="str">
        <x:v>Approved</x:v>
      </x:c>
      <x:c r="H272" t="str">
        <x:v>Quality</x:v>
      </x:c>
      <x:c r="I272" s="10" t="n">
        <x:v>46294</x:v>
      </x:c>
      <x:c r="J272" t="n">
        <x:f>F272-ROUND(F272*0.97,2)</x:f>
        <x:v>16.649999999999977</x:v>
      </x:c>
    </x:row>
    <x:row r="273">
      <x:c r="A273" t="n">
        <x:v>272</x:v>
      </x:c>
      <x:c r="B273" t="str">
        <x:v>PN-03-00272</x:v>
      </x:c>
      <x:c r="C273" t="str">
        <x:v>Automation component 272 / 零件 272</x:v>
      </x:c>
      <x:c r="D273" s="8" t="n">
        <x:v>1</x:v>
      </x:c>
      <x:c r="E273" s="8" t="n">
        <x:v>34.01</x:v>
      </x:c>
      <x:c r="F273" s="8" t="n">
        <x:f>D273*E273</x:f>
        <x:v>34.01</x:v>
      </x:c>
      <x:c r="G273" t="str">
        <x:v>Hold</x:v>
      </x:c>
      <x:c r="H273" t="str">
        <x:v>Production</x:v>
      </x:c>
      <x:c r="I273" s="10" t="n">
        <x:v>46295</x:v>
      </x:c>
      <x:c r="J273" t="n">
        <x:f>F273-ROUND(F273*0.97,2)</x:f>
        <x:v>1.019999999999996</x:v>
      </x:c>
    </x:row>
    <x:row r="274">
      <x:c r="A274" t="n">
        <x:v>273</x:v>
      </x:c>
      <x:c r="B274" t="str">
        <x:v>PN-03-00273</x:v>
      </x:c>
      <x:c r="C274" t="str">
        <x:v>Automation component 273 / 零件 273</x:v>
      </x:c>
      <x:c r="D274" s="8" t="n">
        <x:v>2</x:v>
      </x:c>
      <x:c r="E274" s="8" t="n">
        <x:v>35.38</x:v>
      </x:c>
      <x:c r="F274" s="8" t="n">
        <x:f>D274*E274</x:f>
        <x:v>70.76</x:v>
      </x:c>
      <x:c r="G274" t="str">
        <x:v>Open</x:v>
      </x:c>
      <x:c r="H274" t="str">
        <x:v>Engineering</x:v>
      </x:c>
      <x:c r="I274" s="10" t="n">
        <x:v>46296</x:v>
      </x:c>
      <x:c r="J274" t="n">
        <x:f>F274-ROUND(F274*0.97,2)</x:f>
        <x:v>2.1200000000000045</x:v>
      </x:c>
    </x:row>
    <x:row r="275">
      <x:c r="A275" t="n">
        <x:v>274</x:v>
      </x:c>
      <x:c r="B275" t="str">
        <x:v>PN-03-00274</x:v>
      </x:c>
      <x:c r="C275" t="str">
        <x:v>Automation component 274 / 零件 274</x:v>
      </x:c>
      <x:c r="D275" s="8" t="n">
        <x:v>3</x:v>
      </x:c>
      <x:c r="E275" s="8" t="n">
        <x:v>36.75</x:v>
      </x:c>
      <x:c r="F275" s="8" t="n">
        <x:f>D275*E275</x:f>
        <x:v>110.25</x:v>
      </x:c>
      <x:c r="G275" t="str">
        <x:v>Approved</x:v>
      </x:c>
      <x:c r="H275" t="str">
        <x:v>Quality</x:v>
      </x:c>
      <x:c r="I275" s="10" t="n">
        <x:v>46297</x:v>
      </x:c>
      <x:c r="J275" t="n">
        <x:f>F275-ROUND(F275*0.97,2)</x:f>
        <x:v>3.3100000000000023</x:v>
      </x:c>
    </x:row>
    <x:row r="276">
      <x:c r="A276" t="n">
        <x:v>275</x:v>
      </x:c>
      <x:c r="B276" t="str">
        <x:v>PN-03-00275</x:v>
      </x:c>
      <x:c r="C276" t="str">
        <x:v>Automation component 275 / 零件 275</x:v>
      </x:c>
      <x:c r="D276" s="8" t="n">
        <x:v>4</x:v>
      </x:c>
      <x:c r="E276" s="8" t="n">
        <x:v>38.12</x:v>
      </x:c>
      <x:c r="F276" s="8" t="n">
        <x:f>D276*E276</x:f>
        <x:v>152.48</x:v>
      </x:c>
      <x:c r="G276" t="str">
        <x:v>Hold</x:v>
      </x:c>
      <x:c r="H276" t="str">
        <x:v>Production</x:v>
      </x:c>
      <x:c r="I276" s="10" t="n">
        <x:v>46298</x:v>
      </x:c>
      <x:c r="J276" t="n">
        <x:f>F276-ROUND(F276*0.97,2)</x:f>
        <x:v>4.569999999999993</x:v>
      </x:c>
    </x:row>
    <x:row r="277">
      <x:c r="A277" t="n">
        <x:v>276</x:v>
      </x:c>
      <x:c r="B277" t="str">
        <x:v>PN-03-00276</x:v>
      </x:c>
      <x:c r="C277" t="str">
        <x:v>Automation component 276 / 零件 276</x:v>
      </x:c>
      <x:c r="D277" s="8" t="n">
        <x:v>5</x:v>
      </x:c>
      <x:c r="E277" s="8" t="n">
        <x:v>39.49</x:v>
      </x:c>
      <x:c r="F277" s="8" t="n">
        <x:f>D277*E277</x:f>
        <x:v>197.45000000000002</x:v>
      </x:c>
      <x:c r="G277" t="str">
        <x:v>Open</x:v>
      </x:c>
      <x:c r="H277" t="str">
        <x:v>Engineering</x:v>
      </x:c>
      <x:c r="I277" s="10" t="n">
        <x:v>46299</x:v>
      </x:c>
      <x:c r="J277" t="n">
        <x:f>F277-ROUND(F277*0.97,2)</x:f>
        <x:v>5.920000000000016</x:v>
      </x:c>
    </x:row>
    <x:row r="278">
      <x:c r="A278" t="n">
        <x:v>277</x:v>
      </x:c>
      <x:c r="B278" t="str">
        <x:v>PN-03-00277</x:v>
      </x:c>
      <x:c r="C278" t="str">
        <x:v>Automation component 277 / 零件 277</x:v>
      </x:c>
      <x:c r="D278" s="8" t="n">
        <x:v>6</x:v>
      </x:c>
      <x:c r="E278" s="8" t="n">
        <x:v>40.86</x:v>
      </x:c>
      <x:c r="F278" s="8" t="n">
        <x:f>D278*E278</x:f>
        <x:v>245.16</x:v>
      </x:c>
      <x:c r="G278" t="str">
        <x:v>Approved</x:v>
      </x:c>
      <x:c r="H278" t="str">
        <x:v>Quality</x:v>
      </x:c>
      <x:c r="I278" s="10" t="n">
        <x:v>46300</x:v>
      </x:c>
      <x:c r="J278" t="n">
        <x:f>F278-ROUND(F278*0.97,2)</x:f>
        <x:v>7.349999999999994</x:v>
      </x:c>
    </x:row>
    <x:row r="279">
      <x:c r="A279" t="n">
        <x:v>278</x:v>
      </x:c>
      <x:c r="B279" t="str">
        <x:v>PN-03-00278</x:v>
      </x:c>
      <x:c r="C279" t="str">
        <x:v>Automation component 278 / 零件 278</x:v>
      </x:c>
      <x:c r="D279" s="8" t="n">
        <x:v>7</x:v>
      </x:c>
      <x:c r="E279" s="8" t="n">
        <x:v>42.23</x:v>
      </x:c>
      <x:c r="F279" s="8" t="n">
        <x:f>D279*E279</x:f>
        <x:v>295.60999999999996</x:v>
      </x:c>
      <x:c r="G279" t="str">
        <x:v>Hold</x:v>
      </x:c>
      <x:c r="H279" t="str">
        <x:v>Production</x:v>
      </x:c>
      <x:c r="I279" s="10" t="n">
        <x:v>46301</x:v>
      </x:c>
      <x:c r="J279" t="n">
        <x:f>F279-ROUND(F279*0.97,2)</x:f>
        <x:v>8.869999999999948</x:v>
      </x:c>
    </x:row>
    <x:row r="280">
      <x:c r="A280" t="n">
        <x:v>279</x:v>
      </x:c>
      <x:c r="B280" t="str">
        <x:v>PN-03-00279</x:v>
      </x:c>
      <x:c r="C280" t="str">
        <x:v>Automation component 279 / 零件 279</x:v>
      </x:c>
      <x:c r="D280" s="8" t="n">
        <x:v>8</x:v>
      </x:c>
      <x:c r="E280" s="8" t="n">
        <x:v>43.6</x:v>
      </x:c>
      <x:c r="F280" s="8" t="n">
        <x:f>D280*E280</x:f>
        <x:v>348.8</x:v>
      </x:c>
      <x:c r="G280" t="str">
        <x:v>Open</x:v>
      </x:c>
      <x:c r="H280" t="str">
        <x:v>Engineering</x:v>
      </x:c>
      <x:c r="I280" s="10" t="n">
        <x:v>46302</x:v>
      </x:c>
      <x:c r="J280" t="n">
        <x:f>F280-ROUND(F280*0.97,2)</x:f>
        <x:v>10.460000000000036</x:v>
      </x:c>
    </x:row>
    <x:row r="281">
      <x:c r="A281" t="n">
        <x:v>280</x:v>
      </x:c>
      <x:c r="B281" t="str">
        <x:v>PN-03-00280</x:v>
      </x:c>
      <x:c r="C281" t="str">
        <x:v>Automation component 280 / 零件 280</x:v>
      </x:c>
      <x:c r="D281" s="8" t="n">
        <x:v>9</x:v>
      </x:c>
      <x:c r="E281" s="8" t="n">
        <x:v>44.97</x:v>
      </x:c>
      <x:c r="F281" s="8" t="n">
        <x:f>D281*E281</x:f>
        <x:v>404.73</x:v>
      </x:c>
      <x:c r="G281" t="str">
        <x:v>Approved</x:v>
      </x:c>
      <x:c r="H281" t="str">
        <x:v>Quality</x:v>
      </x:c>
      <x:c r="I281" s="10" t="n">
        <x:v>46303</x:v>
      </x:c>
      <x:c r="J281" t="n">
        <x:f>F281-ROUND(F281*0.97,2)</x:f>
        <x:v>12.140000000000043</x:v>
      </x:c>
    </x:row>
    <x:row r="282">
      <x:c r="A282" t="n">
        <x:v>281</x:v>
      </x:c>
      <x:c r="B282" t="str">
        <x:v>PN-03-00281</x:v>
      </x:c>
      <x:c r="C282" t="str">
        <x:v>Automation component 281 / 零件 281</x:v>
      </x:c>
      <x:c r="D282" s="8" t="n">
        <x:v>10</x:v>
      </x:c>
      <x:c r="E282" s="8" t="n">
        <x:v>46.34</x:v>
      </x:c>
      <x:c r="F282" s="8" t="n">
        <x:f>D282*E282</x:f>
        <x:v>463.40000000000003</x:v>
      </x:c>
      <x:c r="G282" t="str">
        <x:v>Hold</x:v>
      </x:c>
      <x:c r="H282" t="str">
        <x:v>Production</x:v>
      </x:c>
      <x:c r="I282" s="10" t="n">
        <x:v>46304</x:v>
      </x:c>
      <x:c r="J282" t="n">
        <x:f>F282-ROUND(F282*0.97,2)</x:f>
        <x:v>13.900000000000034</x:v>
      </x:c>
    </x:row>
    <x:row r="283">
      <x:c r="A283" t="n">
        <x:v>282</x:v>
      </x:c>
      <x:c r="B283" t="str">
        <x:v>PN-03-00282</x:v>
      </x:c>
      <x:c r="C283" t="str">
        <x:v>Automation component 282 / 零件 282</x:v>
      </x:c>
      <x:c r="D283" s="8" t="n">
        <x:v>11</x:v>
      </x:c>
      <x:c r="E283" s="8" t="n">
        <x:v>47.71</x:v>
      </x:c>
      <x:c r="F283" s="8" t="n">
        <x:f>D283*E283</x:f>
        <x:v>524.8100000000001</x:v>
      </x:c>
      <x:c r="G283" t="str">
        <x:v>Open</x:v>
      </x:c>
      <x:c r="H283" t="str">
        <x:v>Engineering</x:v>
      </x:c>
      <x:c r="I283" s="10" t="n">
        <x:v>46305</x:v>
      </x:c>
      <x:c r="J283" t="n">
        <x:f>F283-ROUND(F283*0.97,2)</x:f>
        <x:v>15.740000000000066</x:v>
      </x:c>
    </x:row>
    <x:row r="284">
      <x:c r="A284" t="n">
        <x:v>283</x:v>
      </x:c>
      <x:c r="B284" t="str">
        <x:v>PN-03-00283</x:v>
      </x:c>
      <x:c r="C284" t="str">
        <x:v>Automation component 283 / 零件 283</x:v>
      </x:c>
      <x:c r="D284" s="8" t="n">
        <x:v>12</x:v>
      </x:c>
      <x:c r="E284" s="8" t="n">
        <x:v>49.08</x:v>
      </x:c>
      <x:c r="F284" s="8" t="n">
        <x:f>D284*E284</x:f>
        <x:v>588.96</x:v>
      </x:c>
      <x:c r="G284" t="str">
        <x:v>Approved</x:v>
      </x:c>
      <x:c r="H284" t="str">
        <x:v>Quality</x:v>
      </x:c>
      <x:c r="I284" s="10" t="n">
        <x:v>46306</x:v>
      </x:c>
      <x:c r="J284" t="n">
        <x:f>F284-ROUND(F284*0.97,2)</x:f>
        <x:v>17.670000000000073</x:v>
      </x:c>
    </x:row>
    <x:row r="285">
      <x:c r="A285" t="n">
        <x:v>284</x:v>
      </x:c>
      <x:c r="B285" t="str">
        <x:v>PN-03-00284</x:v>
      </x:c>
      <x:c r="C285" t="str">
        <x:v>Automation component 284 / 零件 284</x:v>
      </x:c>
      <x:c r="D285" s="8" t="n">
        <x:v>13</x:v>
      </x:c>
      <x:c r="E285" s="8" t="n">
        <x:v>50.45</x:v>
      </x:c>
      <x:c r="F285" s="8" t="n">
        <x:f>D285*E285</x:f>
        <x:v>655.85</x:v>
      </x:c>
      <x:c r="G285" t="str">
        <x:v>Hold</x:v>
      </x:c>
      <x:c r="H285" t="str">
        <x:v>Production</x:v>
      </x:c>
      <x:c r="I285" s="10" t="n">
        <x:v>46307</x:v>
      </x:c>
      <x:c r="J285" t="n">
        <x:f>F285-ROUND(F285*0.97,2)</x:f>
        <x:v>19.680000000000064</x:v>
      </x:c>
    </x:row>
    <x:row r="286">
      <x:c r="A286" t="n">
        <x:v>285</x:v>
      </x:c>
      <x:c r="B286" t="str">
        <x:v>PN-03-00285</x:v>
      </x:c>
      <x:c r="C286" t="str">
        <x:v>Automation component 285 / 零件 285</x:v>
      </x:c>
      <x:c r="D286" s="8" t="n">
        <x:v>14</x:v>
      </x:c>
      <x:c r="E286" s="8" t="n">
        <x:v>51.82</x:v>
      </x:c>
      <x:c r="F286" s="8" t="n">
        <x:f>D286*E286</x:f>
        <x:v>725.48</x:v>
      </x:c>
      <x:c r="G286" t="str">
        <x:v>Open</x:v>
      </x:c>
      <x:c r="H286" t="str">
        <x:v>Engineering</x:v>
      </x:c>
      <x:c r="I286" s="10" t="n">
        <x:v>46308</x:v>
      </x:c>
      <x:c r="J286" t="n">
        <x:f>F286-ROUND(F286*0.97,2)</x:f>
        <x:v>21.75999999999999</x:v>
      </x:c>
    </x:row>
    <x:row r="287">
      <x:c r="A287" t="n">
        <x:v>286</x:v>
      </x:c>
      <x:c r="B287" t="str">
        <x:v>PN-03-00286</x:v>
      </x:c>
      <x:c r="C287" t="str">
        <x:v>Automation component 286 / 零件 286</x:v>
      </x:c>
      <x:c r="D287" s="8" t="n">
        <x:v>15</x:v>
      </x:c>
      <x:c r="E287" s="8" t="n">
        <x:v>53.19</x:v>
      </x:c>
      <x:c r="F287" s="8" t="n">
        <x:f>D287*E287</x:f>
        <x:v>797.8499999999999</x:v>
      </x:c>
      <x:c r="G287" t="str">
        <x:v>Approved</x:v>
      </x:c>
      <x:c r="H287" t="str">
        <x:v>Quality</x:v>
      </x:c>
      <x:c r="I287" s="10" t="n">
        <x:v>46309</x:v>
      </x:c>
      <x:c r="J287" t="n">
        <x:f>F287-ROUND(F287*0.97,2)</x:f>
        <x:v>23.93999999999994</x:v>
      </x:c>
    </x:row>
    <x:row r="288">
      <x:c r="A288" t="n">
        <x:v>287</x:v>
      </x:c>
      <x:c r="B288" t="str">
        <x:v>PN-03-00287</x:v>
      </x:c>
      <x:c r="C288" t="str">
        <x:v>Automation component 287 / 零件 287</x:v>
      </x:c>
      <x:c r="D288" s="8" t="n">
        <x:v>16</x:v>
      </x:c>
      <x:c r="E288" s="8" t="n">
        <x:v>54.56</x:v>
      </x:c>
      <x:c r="F288" s="8" t="n">
        <x:f>D288*E288</x:f>
        <x:v>872.96</x:v>
      </x:c>
      <x:c r="G288" t="str">
        <x:v>Hold</x:v>
      </x:c>
      <x:c r="H288" t="str">
        <x:v>Production</x:v>
      </x:c>
      <x:c r="I288" s="10" t="n">
        <x:v>46310</x:v>
      </x:c>
      <x:c r="J288" t="n">
        <x:f>F288-ROUND(F288*0.97,2)</x:f>
        <x:v>26.190000000000055</x:v>
      </x:c>
    </x:row>
    <x:row r="289">
      <x:c r="A289" t="n">
        <x:v>288</x:v>
      </x:c>
      <x:c r="B289" t="str">
        <x:v>PN-03-00288</x:v>
      </x:c>
      <x:c r="C289" t="str">
        <x:v>Automation component 288 / 零件 288</x:v>
      </x:c>
      <x:c r="D289" s="8" t="n">
        <x:v>17</x:v>
      </x:c>
      <x:c r="E289" s="8" t="n">
        <x:v>55.93</x:v>
      </x:c>
      <x:c r="F289" s="8" t="n">
        <x:f>D289*E289</x:f>
        <x:v>950.81</x:v>
      </x:c>
      <x:c r="G289" t="str">
        <x:v>Open</x:v>
      </x:c>
      <x:c r="H289" t="str">
        <x:v>Engineering</x:v>
      </x:c>
      <x:c r="I289" s="10" t="n">
        <x:v>46311</x:v>
      </x:c>
      <x:c r="J289" t="n">
        <x:f>F289-ROUND(F289*0.97,2)</x:f>
        <x:v>28.519999999999982</x:v>
      </x:c>
    </x:row>
    <x:row r="290">
      <x:c r="A290" t="n">
        <x:v>289</x:v>
      </x:c>
      <x:c r="B290" t="str">
        <x:v>PN-03-00289</x:v>
      </x:c>
      <x:c r="C290" t="str">
        <x:v>Automation component 289 / 零件 289</x:v>
      </x:c>
      <x:c r="D290" s="8" t="n">
        <x:v>1</x:v>
      </x:c>
      <x:c r="E290" s="8" t="n">
        <x:v>57.3</x:v>
      </x:c>
      <x:c r="F290" s="8" t="n">
        <x:f>D290*E290</x:f>
        <x:v>57.3</x:v>
      </x:c>
      <x:c r="G290" t="str">
        <x:v>Approved</x:v>
      </x:c>
      <x:c r="H290" t="str">
        <x:v>Quality</x:v>
      </x:c>
      <x:c r="I290" s="10" t="n">
        <x:v>46312</x:v>
      </x:c>
      <x:c r="J290" t="n">
        <x:f>F290-ROUND(F290*0.97,2)</x:f>
        <x:v>1.7199999999999989</x:v>
      </x:c>
    </x:row>
    <x:row r="291">
      <x:c r="A291" t="n">
        <x:v>290</x:v>
      </x:c>
      <x:c r="B291" t="str">
        <x:v>PN-03-00290</x:v>
      </x:c>
      <x:c r="C291" t="str">
        <x:v>Automation component 290 / 零件 290</x:v>
      </x:c>
      <x:c r="D291" s="8" t="n">
        <x:v>2</x:v>
      </x:c>
      <x:c r="E291" s="8" t="n">
        <x:v>58.67</x:v>
      </x:c>
      <x:c r="F291" s="8" t="n">
        <x:f>D291*E291</x:f>
        <x:v>117.34</x:v>
      </x:c>
      <x:c r="G291" t="str">
        <x:v>Hold</x:v>
      </x:c>
      <x:c r="H291" t="str">
        <x:v>Production</x:v>
      </x:c>
      <x:c r="I291" s="10" t="n">
        <x:v>46313</x:v>
      </x:c>
      <x:c r="J291" t="n">
        <x:f>F291-ROUND(F291*0.97,2)</x:f>
        <x:v>3.5200000000000102</x:v>
      </x:c>
    </x:row>
    <x:row r="292">
      <x:c r="A292" t="n">
        <x:v>291</x:v>
      </x:c>
      <x:c r="B292" t="str">
        <x:v>PN-03-00291</x:v>
      </x:c>
      <x:c r="C292" t="str">
        <x:v>Automation component 291 / 零件 291</x:v>
      </x:c>
      <x:c r="D292" s="8" t="n">
        <x:v>3</x:v>
      </x:c>
      <x:c r="E292" s="8" t="n">
        <x:v>60.04</x:v>
      </x:c>
      <x:c r="F292" s="8" t="n">
        <x:f>D292*E292</x:f>
        <x:v>180.12</x:v>
      </x:c>
      <x:c r="G292" t="str">
        <x:v>Open</x:v>
      </x:c>
      <x:c r="H292" t="str">
        <x:v>Engineering</x:v>
      </x:c>
      <x:c r="I292" s="10" t="n">
        <x:v>46314</x:v>
      </x:c>
      <x:c r="J292" t="n">
        <x:f>F292-ROUND(F292*0.97,2)</x:f>
        <x:v>5.400000000000006</x:v>
      </x:c>
    </x:row>
    <x:row r="293">
      <x:c r="A293" t="n">
        <x:v>292</x:v>
      </x:c>
      <x:c r="B293" t="str">
        <x:v>PN-03-00292</x:v>
      </x:c>
      <x:c r="C293" t="str">
        <x:v>Automation component 292 / 零件 292</x:v>
      </x:c>
      <x:c r="D293" s="8" t="n">
        <x:v>4</x:v>
      </x:c>
      <x:c r="E293" s="8" t="n">
        <x:v>61.41</x:v>
      </x:c>
      <x:c r="F293" s="8" t="n">
        <x:f>D293*E293</x:f>
        <x:v>245.64</x:v>
      </x:c>
      <x:c r="G293" t="str">
        <x:v>Approved</x:v>
      </x:c>
      <x:c r="H293" t="str">
        <x:v>Quality</x:v>
      </x:c>
      <x:c r="I293" s="10" t="n">
        <x:v>46315</x:v>
      </x:c>
      <x:c r="J293" t="n">
        <x:f>F293-ROUND(F293*0.97,2)</x:f>
        <x:v>7.369999999999976</x:v>
      </x:c>
    </x:row>
    <x:row r="294">
      <x:c r="A294" t="n">
        <x:v>293</x:v>
      </x:c>
      <x:c r="B294" t="str">
        <x:v>PN-03-00293</x:v>
      </x:c>
      <x:c r="C294" t="str">
        <x:v>Automation component 293 / 零件 293</x:v>
      </x:c>
      <x:c r="D294" s="8" t="n">
        <x:v>5</x:v>
      </x:c>
      <x:c r="E294" s="8" t="n">
        <x:v>62.78</x:v>
      </x:c>
      <x:c r="F294" s="8" t="n">
        <x:f>D294*E294</x:f>
        <x:v>313.9</x:v>
      </x:c>
      <x:c r="G294" t="str">
        <x:v>Hold</x:v>
      </x:c>
      <x:c r="H294" t="str">
        <x:v>Production</x:v>
      </x:c>
      <x:c r="I294" s="10" t="n">
        <x:v>46316</x:v>
      </x:c>
      <x:c r="J294" t="n">
        <x:f>F294-ROUND(F294*0.97,2)</x:f>
        <x:v>9.419999999999959</x:v>
      </x:c>
    </x:row>
    <x:row r="295">
      <x:c r="A295" t="n">
        <x:v>294</x:v>
      </x:c>
      <x:c r="B295" t="str">
        <x:v>PN-03-00294</x:v>
      </x:c>
      <x:c r="C295" t="str">
        <x:v>Automation component 294 / 零件 294</x:v>
      </x:c>
      <x:c r="D295" s="8" t="n">
        <x:v>6</x:v>
      </x:c>
      <x:c r="E295" s="8" t="n">
        <x:v>64.15</x:v>
      </x:c>
      <x:c r="F295" s="8" t="n">
        <x:f>D295*E295</x:f>
        <x:v>384.90000000000003</x:v>
      </x:c>
      <x:c r="G295" t="str">
        <x:v>Open</x:v>
      </x:c>
      <x:c r="H295" t="str">
        <x:v>Engineering</x:v>
      </x:c>
      <x:c r="I295" s="10" t="n">
        <x:v>46317</x:v>
      </x:c>
      <x:c r="J295" t="n">
        <x:f>F295-ROUND(F295*0.97,2)</x:f>
        <x:v>11.550000000000011</x:v>
      </x:c>
    </x:row>
    <x:row r="296">
      <x:c r="A296" t="n">
        <x:v>295</x:v>
      </x:c>
      <x:c r="B296" t="str">
        <x:v>PN-03-00295</x:v>
      </x:c>
      <x:c r="C296" t="str">
        <x:v>Automation component 295 / 零件 295</x:v>
      </x:c>
      <x:c r="D296" s="8" t="n">
        <x:v>7</x:v>
      </x:c>
      <x:c r="E296" s="8" t="n">
        <x:v>65.52</x:v>
      </x:c>
      <x:c r="F296" s="8" t="n">
        <x:f>D296*E296</x:f>
        <x:v>458.64</x:v>
      </x:c>
      <x:c r="G296" t="str">
        <x:v>Approved</x:v>
      </x:c>
      <x:c r="H296" t="str">
        <x:v>Quality</x:v>
      </x:c>
      <x:c r="I296" s="10" t="n">
        <x:v>46318</x:v>
      </x:c>
      <x:c r="J296" t="n">
        <x:f>F296-ROUND(F296*0.97,2)</x:f>
        <x:v>13.759999999999991</x:v>
      </x:c>
    </x:row>
    <x:row r="297">
      <x:c r="A297" t="n">
        <x:v>296</x:v>
      </x:c>
      <x:c r="B297" t="str">
        <x:v>PN-03-00296</x:v>
      </x:c>
      <x:c r="C297" t="str">
        <x:v>Automation component 296 / 零件 296</x:v>
      </x:c>
      <x:c r="D297" s="8" t="n">
        <x:v>8</x:v>
      </x:c>
      <x:c r="E297" s="8" t="n">
        <x:v>66.89</x:v>
      </x:c>
      <x:c r="F297" s="8" t="n">
        <x:f>D297*E297</x:f>
        <x:v>535.12</x:v>
      </x:c>
      <x:c r="G297" t="str">
        <x:v>Hold</x:v>
      </x:c>
      <x:c r="H297" t="str">
        <x:v>Production</x:v>
      </x:c>
      <x:c r="I297" s="10" t="n">
        <x:v>46319</x:v>
      </x:c>
      <x:c r="J297" t="n">
        <x:f>F297-ROUND(F297*0.97,2)</x:f>
        <x:v>16.049999999999955</x:v>
      </x:c>
    </x:row>
    <x:row r="298">
      <x:c r="A298" t="n">
        <x:v>297</x:v>
      </x:c>
      <x:c r="B298" t="str">
        <x:v>PN-03-00297</x:v>
      </x:c>
      <x:c r="C298" t="str">
        <x:v>Automation component 297 / 零件 297</x:v>
      </x:c>
      <x:c r="D298" s="8" t="n">
        <x:v>9</x:v>
      </x:c>
      <x:c r="E298" s="8" t="n">
        <x:v>68.26</x:v>
      </x:c>
      <x:c r="F298" s="8" t="n">
        <x:f>D298*E298</x:f>
        <x:v>614.34</x:v>
      </x:c>
      <x:c r="G298" t="str">
        <x:v>Open</x:v>
      </x:c>
      <x:c r="H298" t="str">
        <x:v>Engineering</x:v>
      </x:c>
      <x:c r="I298" s="10" t="n">
        <x:v>46320</x:v>
      </x:c>
      <x:c r="J298" t="n">
        <x:f>F298-ROUND(F298*0.97,2)</x:f>
        <x:v>18.430000000000064</x:v>
      </x:c>
    </x:row>
    <x:row r="299">
      <x:c r="A299" t="n">
        <x:v>298</x:v>
      </x:c>
      <x:c r="B299" t="str">
        <x:v>PN-03-00298</x:v>
      </x:c>
      <x:c r="C299" t="str">
        <x:v>Automation component 298 / 零件 298</x:v>
      </x:c>
      <x:c r="D299" s="8" t="n">
        <x:v>10</x:v>
      </x:c>
      <x:c r="E299" s="8" t="n">
        <x:v>69.63</x:v>
      </x:c>
      <x:c r="F299" s="8" t="n">
        <x:f>D299*E299</x:f>
        <x:v>696.3</x:v>
      </x:c>
      <x:c r="G299" t="str">
        <x:v>Approved</x:v>
      </x:c>
      <x:c r="H299" t="str">
        <x:v>Quality</x:v>
      </x:c>
      <x:c r="I299" s="10" t="n">
        <x:v>46321</x:v>
      </x:c>
      <x:c r="J299" t="n">
        <x:f>F299-ROUND(F299*0.97,2)</x:f>
        <x:v>20.889999999999986</x:v>
      </x:c>
    </x:row>
    <x:row r="300">
      <x:c r="A300" t="n">
        <x:v>299</x:v>
      </x:c>
      <x:c r="B300" t="str">
        <x:v>PN-03-00299</x:v>
      </x:c>
      <x:c r="C300" t="str">
        <x:v>Automation component 299 / 零件 299</x:v>
      </x:c>
      <x:c r="D300" s="8" t="n">
        <x:v>11</x:v>
      </x:c>
      <x:c r="E300" s="8" t="n">
        <x:v>71</x:v>
      </x:c>
      <x:c r="F300" s="8" t="n">
        <x:f>D300*E300</x:f>
        <x:v>781</x:v>
      </x:c>
      <x:c r="G300" t="str">
        <x:v>Hold</x:v>
      </x:c>
      <x:c r="H300" t="str">
        <x:v>Production</x:v>
      </x:c>
      <x:c r="I300" s="10" t="n">
        <x:v>46322</x:v>
      </x:c>
      <x:c r="J300" t="n">
        <x:f>F300-ROUND(F300*0.97,2)</x:f>
        <x:v>23.42999999999995</x:v>
      </x:c>
    </x:row>
    <x:row r="301">
      <x:c r="A301" t="n">
        <x:v>300</x:v>
      </x:c>
      <x:c r="B301" t="str">
        <x:v>PN-03-00300</x:v>
      </x:c>
      <x:c r="C301" t="str">
        <x:v>Automation component 300 / 零件 300</x:v>
      </x:c>
      <x:c r="D301" s="8" t="n">
        <x:v>12</x:v>
      </x:c>
      <x:c r="E301" s="8" t="n">
        <x:v>72.37</x:v>
      </x:c>
      <x:c r="F301" s="8" t="n">
        <x:f>D301*E301</x:f>
        <x:v>868.44</x:v>
      </x:c>
      <x:c r="G301" t="str">
        <x:v>Open</x:v>
      </x:c>
      <x:c r="H301" t="str">
        <x:v>Engineering</x:v>
      </x:c>
      <x:c r="I301" s="10" t="n">
        <x:v>46323</x:v>
      </x:c>
      <x:c r="J301" t="n">
        <x:f>F301-ROUND(F301*0.97,2)</x:f>
        <x:v>26.050000000000068</x:v>
      </x:c>
    </x:row>
    <x:row r="302">
      <x:c r="A302" t="n">
        <x:v>301</x:v>
      </x:c>
      <x:c r="B302" t="str">
        <x:v>PN-03-00301</x:v>
      </x:c>
      <x:c r="C302" t="str">
        <x:v>Automation component 301 / 零件 301</x:v>
      </x:c>
      <x:c r="D302" s="8" t="n">
        <x:v>13</x:v>
      </x:c>
      <x:c r="E302" s="8" t="n">
        <x:v>73.74</x:v>
      </x:c>
      <x:c r="F302" s="8" t="n">
        <x:f>D302*E302</x:f>
        <x:v>958.6199999999999</x:v>
      </x:c>
      <x:c r="G302" t="str">
        <x:v>Approved</x:v>
      </x:c>
      <x:c r="H302" t="str">
        <x:v>Quality</x:v>
      </x:c>
      <x:c r="I302" s="10" t="n">
        <x:v>46324</x:v>
      </x:c>
      <x:c r="J302" t="n">
        <x:f>F302-ROUND(F302*0.97,2)</x:f>
        <x:v>28.759999999999877</x:v>
      </x:c>
    </x:row>
    <x:row r="303">
      <x:c r="A303" t="n">
        <x:v>302</x:v>
      </x:c>
      <x:c r="B303" t="str">
        <x:v>PN-03-00302</x:v>
      </x:c>
      <x:c r="C303" t="str">
        <x:v>Automation component 302 / 零件 302</x:v>
      </x:c>
      <x:c r="D303" s="8" t="n">
        <x:v>14</x:v>
      </x:c>
      <x:c r="E303" s="8" t="n">
        <x:v>75.11</x:v>
      </x:c>
      <x:c r="F303" s="8" t="n">
        <x:f>D303*E303</x:f>
        <x:v>1051.54</x:v>
      </x:c>
      <x:c r="G303" t="str">
        <x:v>Hold</x:v>
      </x:c>
      <x:c r="H303" t="str">
        <x:v>Production</x:v>
      </x:c>
      <x:c r="I303" s="10" t="n">
        <x:v>46325</x:v>
      </x:c>
      <x:c r="J303" t="n">
        <x:f>F303-ROUND(F303*0.97,2)</x:f>
        <x:v>31.549999999999955</x:v>
      </x:c>
    </x:row>
    <x:row r="304">
      <x:c r="A304" t="n">
        <x:v>303</x:v>
      </x:c>
      <x:c r="B304" t="str">
        <x:v>PN-03-00303</x:v>
      </x:c>
      <x:c r="C304" t="str">
        <x:v>Automation component 303 / 零件 303</x:v>
      </x:c>
      <x:c r="D304" s="8" t="n">
        <x:v>15</x:v>
      </x:c>
      <x:c r="E304" s="8" t="n">
        <x:v>76.48</x:v>
      </x:c>
      <x:c r="F304" s="8" t="n">
        <x:f>D304*E304</x:f>
        <x:v>1147.2</x:v>
      </x:c>
      <x:c r="G304" t="str">
        <x:v>Open</x:v>
      </x:c>
      <x:c r="H304" t="str">
        <x:v>Engineering</x:v>
      </x:c>
      <x:c r="I304" s="10" t="n">
        <x:v>46326</x:v>
      </x:c>
      <x:c r="J304" t="n">
        <x:f>F304-ROUND(F304*0.97,2)</x:f>
        <x:v>34.42000000000007</x:v>
      </x:c>
    </x:row>
    <x:row r="305">
      <x:c r="A305" t="n">
        <x:v>304</x:v>
      </x:c>
      <x:c r="B305" t="str">
        <x:v>PN-03-00304</x:v>
      </x:c>
      <x:c r="C305" t="str">
        <x:v>Automation component 304 / 零件 304</x:v>
      </x:c>
      <x:c r="D305" s="8" t="n">
        <x:v>16</x:v>
      </x:c>
      <x:c r="E305" s="8" t="n">
        <x:v>77.85</x:v>
      </x:c>
      <x:c r="F305" s="8" t="n">
        <x:f>D305*E305</x:f>
        <x:v>1245.6</x:v>
      </x:c>
      <x:c r="G305" t="str">
        <x:v>Approved</x:v>
      </x:c>
      <x:c r="H305" t="str">
        <x:v>Quality</x:v>
      </x:c>
      <x:c r="I305" s="10" t="n">
        <x:v>46327</x:v>
      </x:c>
      <x:c r="J305" t="n">
        <x:f>F305-ROUND(F305*0.97,2)</x:f>
        <x:v>37.36999999999989</x:v>
      </x:c>
    </x:row>
    <x:row r="306">
      <x:c r="A306" t="n">
        <x:v>305</x:v>
      </x:c>
      <x:c r="B306" t="str">
        <x:v>PN-03-00305</x:v>
      </x:c>
      <x:c r="C306" t="str">
        <x:v>Automation component 305 / 零件 305</x:v>
      </x:c>
      <x:c r="D306" s="8" t="n">
        <x:v>17</x:v>
      </x:c>
      <x:c r="E306" s="8" t="n">
        <x:v>79.22</x:v>
      </x:c>
      <x:c r="F306" s="8" t="n">
        <x:f>D306*E306</x:f>
        <x:v>1346.74</x:v>
      </x:c>
      <x:c r="G306" t="str">
        <x:v>Hold</x:v>
      </x:c>
      <x:c r="H306" t="str">
        <x:v>Production</x:v>
      </x:c>
      <x:c r="I306" s="10" t="n">
        <x:v>46328</x:v>
      </x:c>
      <x:c r="J306" t="n">
        <x:f>F306-ROUND(F306*0.97,2)</x:f>
        <x:v>40.40000000000009</x:v>
      </x:c>
    </x:row>
    <x:row r="307">
      <x:c r="A307" t="n">
        <x:v>306</x:v>
      </x:c>
      <x:c r="B307" t="str">
        <x:v>PN-03-00306</x:v>
      </x:c>
      <x:c r="C307" t="str">
        <x:v>Automation component 306 / 零件 306</x:v>
      </x:c>
      <x:c r="D307" s="8" t="n">
        <x:v>1</x:v>
      </x:c>
      <x:c r="E307" s="8" t="n">
        <x:v>80.59</x:v>
      </x:c>
      <x:c r="F307" s="8" t="n">
        <x:f>D307*E307</x:f>
        <x:v>80.59</x:v>
      </x:c>
      <x:c r="G307" t="str">
        <x:v>Open</x:v>
      </x:c>
      <x:c r="H307" t="str">
        <x:v>Engineering</x:v>
      </x:c>
      <x:c r="I307" s="10" t="n">
        <x:v>46329</x:v>
      </x:c>
      <x:c r="J307" t="n">
        <x:f>F307-ROUND(F307*0.97,2)</x:f>
        <x:v>2.4200000000000017</x:v>
      </x:c>
    </x:row>
    <x:row r="308">
      <x:c r="A308" t="n">
        <x:v>307</x:v>
      </x:c>
      <x:c r="B308" t="str">
        <x:v>PN-03-00307</x:v>
      </x:c>
      <x:c r="C308" t="str">
        <x:v>Automation component 307 / 零件 307</x:v>
      </x:c>
      <x:c r="D308" s="8" t="n">
        <x:v>2</x:v>
      </x:c>
      <x:c r="E308" s="8" t="n">
        <x:v>81.96</x:v>
      </x:c>
      <x:c r="F308" s="8" t="n">
        <x:f>D308*E308</x:f>
        <x:v>163.92</x:v>
      </x:c>
      <x:c r="G308" t="str">
        <x:v>Approved</x:v>
      </x:c>
      <x:c r="H308" t="str">
        <x:v>Quality</x:v>
      </x:c>
      <x:c r="I308" s="10" t="n">
        <x:v>46330</x:v>
      </x:c>
      <x:c r="J308" t="n">
        <x:f>F308-ROUND(F308*0.97,2)</x:f>
        <x:v>4.9199999999999875</x:v>
      </x:c>
    </x:row>
    <x:row r="309">
      <x:c r="A309" t="n">
        <x:v>308</x:v>
      </x:c>
      <x:c r="B309" t="str">
        <x:v>PN-03-00308</x:v>
      </x:c>
      <x:c r="C309" t="str">
        <x:v>Automation component 308 / 零件 308</x:v>
      </x:c>
      <x:c r="D309" s="8" t="n">
        <x:v>3</x:v>
      </x:c>
      <x:c r="E309" s="8" t="n">
        <x:v>83.33</x:v>
      </x:c>
      <x:c r="F309" s="8" t="n">
        <x:f>D309*E309</x:f>
        <x:v>249.99</x:v>
      </x:c>
      <x:c r="G309" t="str">
        <x:v>Hold</x:v>
      </x:c>
      <x:c r="H309" t="str">
        <x:v>Production</x:v>
      </x:c>
      <x:c r="I309" s="10" t="n">
        <x:v>46331</x:v>
      </x:c>
      <x:c r="J309" t="n">
        <x:f>F309-ROUND(F309*0.97,2)</x:f>
        <x:v>7.5</x:v>
      </x:c>
    </x:row>
    <x:row r="310">
      <x:c r="A310" t="n">
        <x:v>309</x:v>
      </x:c>
      <x:c r="B310" t="str">
        <x:v>PN-03-00309</x:v>
      </x:c>
      <x:c r="C310" t="str">
        <x:v>Automation component 309 / 零件 309</x:v>
      </x:c>
      <x:c r="D310" s="8" t="n">
        <x:v>4</x:v>
      </x:c>
      <x:c r="E310" s="8" t="n">
        <x:v>84.7</x:v>
      </x:c>
      <x:c r="F310" s="8" t="n">
        <x:f>D310*E310</x:f>
        <x:v>338.8</x:v>
      </x:c>
      <x:c r="G310" t="str">
        <x:v>Open</x:v>
      </x:c>
      <x:c r="H310" t="str">
        <x:v>Engineering</x:v>
      </x:c>
      <x:c r="I310" s="10" t="n">
        <x:v>46332</x:v>
      </x:c>
      <x:c r="J310" t="n">
        <x:f>F310-ROUND(F310*0.97,2)</x:f>
        <x:v>10.160000000000025</x:v>
      </x:c>
    </x:row>
    <x:row r="311">
      <x:c r="A311" t="n">
        <x:v>310</x:v>
      </x:c>
      <x:c r="B311" t="str">
        <x:v>PN-03-00310</x:v>
      </x:c>
      <x:c r="C311" t="str">
        <x:v>Automation component 310 / 零件 310</x:v>
      </x:c>
      <x:c r="D311" s="8" t="n">
        <x:v>5</x:v>
      </x:c>
      <x:c r="E311" s="8" t="n">
        <x:v>86.07</x:v>
      </x:c>
      <x:c r="F311" s="8" t="n">
        <x:f>D311*E311</x:f>
        <x:v>430.34999999999997</x:v>
      </x:c>
      <x:c r="G311" t="str">
        <x:v>Approved</x:v>
      </x:c>
      <x:c r="H311" t="str">
        <x:v>Quality</x:v>
      </x:c>
      <x:c r="I311" s="10" t="n">
        <x:v>46333</x:v>
      </x:c>
      <x:c r="J311" t="n">
        <x:f>F311-ROUND(F311*0.97,2)</x:f>
        <x:v>12.909999999999968</x:v>
      </x:c>
    </x:row>
    <x:row r="312">
      <x:c r="A312" t="n">
        <x:v>311</x:v>
      </x:c>
      <x:c r="B312" t="str">
        <x:v>PN-03-00311</x:v>
      </x:c>
      <x:c r="C312" t="str">
        <x:v>Automation component 311 / 零件 311</x:v>
      </x:c>
      <x:c r="D312" s="8" t="n">
        <x:v>6</x:v>
      </x:c>
      <x:c r="E312" s="8" t="n">
        <x:v>87.44</x:v>
      </x:c>
      <x:c r="F312" s="8" t="n">
        <x:f>D312*E312</x:f>
        <x:v>524.64</x:v>
      </x:c>
      <x:c r="G312" t="str">
        <x:v>Hold</x:v>
      </x:c>
      <x:c r="H312" t="str">
        <x:v>Production</x:v>
      </x:c>
      <x:c r="I312" s="10" t="n">
        <x:v>46334</x:v>
      </x:c>
      <x:c r="J312" t="n">
        <x:f>F312-ROUND(F312*0.97,2)</x:f>
        <x:v>15.740000000000009</x:v>
      </x:c>
    </x:row>
    <x:row r="313">
      <x:c r="A313" t="n">
        <x:v>312</x:v>
      </x:c>
      <x:c r="B313" t="str">
        <x:v>PN-03-00312</x:v>
      </x:c>
      <x:c r="C313" t="str">
        <x:v>Automation component 312 / 零件 312</x:v>
      </x:c>
      <x:c r="D313" s="8" t="n">
        <x:v>7</x:v>
      </x:c>
      <x:c r="E313" s="8" t="n">
        <x:v>88.81</x:v>
      </x:c>
      <x:c r="F313" s="8" t="n">
        <x:f>D313*E313</x:f>
        <x:v>621.6700000000001</x:v>
      </x:c>
      <x:c r="G313" t="str">
        <x:v>Open</x:v>
      </x:c>
      <x:c r="H313" t="str">
        <x:v>Engineering</x:v>
      </x:c>
      <x:c r="I313" s="10" t="n">
        <x:v>46335</x:v>
      </x:c>
      <x:c r="J313" t="n">
        <x:f>F313-ROUND(F313*0.97,2)</x:f>
        <x:v>18.65000000000009</x:v>
      </x:c>
    </x:row>
    <x:row r="314">
      <x:c r="A314" t="n">
        <x:v>313</x:v>
      </x:c>
      <x:c r="B314" t="str">
        <x:v>PN-03-00313</x:v>
      </x:c>
      <x:c r="C314" t="str">
        <x:v>Automation component 313 / 零件 313</x:v>
      </x:c>
      <x:c r="D314" s="8" t="n">
        <x:v>8</x:v>
      </x:c>
      <x:c r="E314" s="8" t="n">
        <x:v>90.18</x:v>
      </x:c>
      <x:c r="F314" s="8" t="n">
        <x:f>D314*E314</x:f>
        <x:v>721.44</x:v>
      </x:c>
      <x:c r="G314" t="str">
        <x:v>Approved</x:v>
      </x:c>
      <x:c r="H314" t="str">
        <x:v>Quality</x:v>
      </x:c>
      <x:c r="I314" s="10" t="n">
        <x:v>46336</x:v>
      </x:c>
      <x:c r="J314" t="n">
        <x:f>F314-ROUND(F314*0.97,2)</x:f>
        <x:v>21.6400000000001</x:v>
      </x:c>
    </x:row>
    <x:row r="315">
      <x:c r="A315" t="n">
        <x:v>314</x:v>
      </x:c>
      <x:c r="B315" t="str">
        <x:v>PN-03-00314</x:v>
      </x:c>
      <x:c r="C315" t="str">
        <x:v>Automation component 314 / 零件 314</x:v>
      </x:c>
      <x:c r="D315" s="8" t="n">
        <x:v>9</x:v>
      </x:c>
      <x:c r="E315" s="8" t="n">
        <x:v>91.55</x:v>
      </x:c>
      <x:c r="F315" s="8" t="n">
        <x:f>D315*E315</x:f>
        <x:v>823.9499999999999</x:v>
      </x:c>
      <x:c r="G315" t="str">
        <x:v>Hold</x:v>
      </x:c>
      <x:c r="H315" t="str">
        <x:v>Production</x:v>
      </x:c>
      <x:c r="I315" s="10" t="n">
        <x:v>46337</x:v>
      </x:c>
      <x:c r="J315" t="n">
        <x:f>F315-ROUND(F315*0.97,2)</x:f>
        <x:v>24.719999999999914</x:v>
      </x:c>
    </x:row>
    <x:row r="316">
      <x:c r="A316" t="n">
        <x:v>315</x:v>
      </x:c>
      <x:c r="B316" t="str">
        <x:v>PN-03-00315</x:v>
      </x:c>
      <x:c r="C316" t="str">
        <x:v>Automation component 315 / 零件 315</x:v>
      </x:c>
      <x:c r="D316" s="8" t="n">
        <x:v>10</x:v>
      </x:c>
      <x:c r="E316" s="8" t="n">
        <x:v>92.92</x:v>
      </x:c>
      <x:c r="F316" s="8" t="n">
        <x:f>D316*E316</x:f>
        <x:v>929.2</x:v>
      </x:c>
      <x:c r="G316" t="str">
        <x:v>Open</x:v>
      </x:c>
      <x:c r="H316" t="str">
        <x:v>Engineering</x:v>
      </x:c>
      <x:c r="I316" s="10" t="n">
        <x:v>46338</x:v>
      </x:c>
      <x:c r="J316" t="n">
        <x:f>F316-ROUND(F316*0.97,2)</x:f>
        <x:v>27.879999999999995</x:v>
      </x:c>
    </x:row>
    <x:row r="317">
      <x:c r="A317" t="n">
        <x:v>316</x:v>
      </x:c>
      <x:c r="B317" t="str">
        <x:v>PN-03-00316</x:v>
      </x:c>
      <x:c r="C317" t="str">
        <x:v>Automation component 316 / 零件 316</x:v>
      </x:c>
      <x:c r="D317" s="8" t="n">
        <x:v>11</x:v>
      </x:c>
      <x:c r="E317" s="8" t="n">
        <x:v>94.29</x:v>
      </x:c>
      <x:c r="F317" s="8" t="n">
        <x:f>D317*E317</x:f>
        <x:v>1037.19</x:v>
      </x:c>
      <x:c r="G317" t="str">
        <x:v>Approved</x:v>
      </x:c>
      <x:c r="H317" t="str">
        <x:v>Quality</x:v>
      </x:c>
      <x:c r="I317" s="10" t="n">
        <x:v>46339</x:v>
      </x:c>
      <x:c r="J317" t="n">
        <x:f>F317-ROUND(F317*0.97,2)</x:f>
        <x:v>31.120000000000005</x:v>
      </x:c>
    </x:row>
    <x:row r="318">
      <x:c r="A318" t="n">
        <x:v>317</x:v>
      </x:c>
      <x:c r="B318" t="str">
        <x:v>PN-03-00317</x:v>
      </x:c>
      <x:c r="C318" t="str">
        <x:v>Automation component 317 / 零件 317</x:v>
      </x:c>
      <x:c r="D318" s="8" t="n">
        <x:v>12</x:v>
      </x:c>
      <x:c r="E318" s="8" t="n">
        <x:v>95.66</x:v>
      </x:c>
      <x:c r="F318" s="8" t="n">
        <x:f>D318*E318</x:f>
        <x:v>1147.92</x:v>
      </x:c>
      <x:c r="G318" t="str">
        <x:v>Hold</x:v>
      </x:c>
      <x:c r="H318" t="str">
        <x:v>Production</x:v>
      </x:c>
      <x:c r="I318" s="10" t="n">
        <x:v>46340</x:v>
      </x:c>
      <x:c r="J318" t="n">
        <x:f>F318-ROUND(F318*0.97,2)</x:f>
        <x:v>34.440000000000055</x:v>
      </x:c>
    </x:row>
    <x:row r="319">
      <x:c r="A319" t="n">
        <x:v>318</x:v>
      </x:c>
      <x:c r="B319" t="str">
        <x:v>PN-03-00318</x:v>
      </x:c>
      <x:c r="C319" t="str">
        <x:v>Automation component 318 / 零件 318</x:v>
      </x:c>
      <x:c r="D319" s="8" t="n">
        <x:v>13</x:v>
      </x:c>
      <x:c r="E319" s="8" t="n">
        <x:v>97.03</x:v>
      </x:c>
      <x:c r="F319" s="8" t="n">
        <x:f>D319*E319</x:f>
        <x:v>1261.39</x:v>
      </x:c>
      <x:c r="G319" t="str">
        <x:v>Open</x:v>
      </x:c>
      <x:c r="H319" t="str">
        <x:v>Engineering</x:v>
      </x:c>
      <x:c r="I319" s="10" t="n">
        <x:v>46341</x:v>
      </x:c>
      <x:c r="J319" t="n">
        <x:f>F319-ROUND(F319*0.97,2)</x:f>
        <x:v>37.840000000000146</x:v>
      </x:c>
    </x:row>
    <x:row r="320">
      <x:c r="A320" t="n">
        <x:v>319</x:v>
      </x:c>
      <x:c r="B320" t="str">
        <x:v>PN-03-00319</x:v>
      </x:c>
      <x:c r="C320" t="str">
        <x:v>Automation component 319 / 零件 319</x:v>
      </x:c>
      <x:c r="D320" s="8" t="n">
        <x:v>14</x:v>
      </x:c>
      <x:c r="E320" s="8" t="n">
        <x:v>98.4</x:v>
      </x:c>
      <x:c r="F320" s="8" t="n">
        <x:f>D320*E320</x:f>
        <x:v>1377.6000000000001</x:v>
      </x:c>
      <x:c r="G320" t="str">
        <x:v>Approved</x:v>
      </x:c>
      <x:c r="H320" t="str">
        <x:v>Quality</x:v>
      </x:c>
      <x:c r="I320" s="10" t="n">
        <x:v>46342</x:v>
      </x:c>
      <x:c r="J320" t="n">
        <x:f>F320-ROUND(F320*0.97,2)</x:f>
        <x:v>41.330000000000155</x:v>
      </x:c>
    </x:row>
    <x:row r="321">
      <x:c r="A321" t="n">
        <x:v>320</x:v>
      </x:c>
      <x:c r="B321" t="str">
        <x:v>PN-03-00320</x:v>
      </x:c>
      <x:c r="C321" t="str">
        <x:v>Automation component 320 / 零件 320</x:v>
      </x:c>
      <x:c r="D321" s="8" t="n">
        <x:v>15</x:v>
      </x:c>
      <x:c r="E321" s="8" t="n">
        <x:v>99.77</x:v>
      </x:c>
      <x:c r="F321" s="8" t="n">
        <x:f>D321*E321</x:f>
        <x:v>1496.55</x:v>
      </x:c>
      <x:c r="G321" t="str">
        <x:v>Hold</x:v>
      </x:c>
      <x:c r="H321" t="str">
        <x:v>Production</x:v>
      </x:c>
      <x:c r="I321" s="10" t="n">
        <x:v>46343</x:v>
      </x:c>
      <x:c r="J321" t="n">
        <x:f>F321-ROUND(F321*0.97,2)</x:f>
        <x:v>44.899999999999864</x:v>
      </x:c>
    </x:row>
  </x:sheetData>
  <x:conditionalFormatting sqref="F2:F32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{632321AF-11FF-E827-7DCD-4E79F35F1120}</x14:id>
        </x:ext>
      </x:extLst>
    </x:cfRule>
  </x:conditionalFormatting>
  <x:dataValidations count="1">
    <x:dataValidation type="list" sqref="G2:G321">
      <x:formula1>"Open,Approved,Hold"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f15fcdfcc14e5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32321AF-11FF-E827-7DCD-4E79F35F1120}">
            <x14:dataBar gradient="1">
              <x14:cfvo type="min"/>
              <x14:cfvo type="max"/>
              <x14:fillColor rgb="FF4472C4"/>
            </x14:dataBar>
          </x14:cfRule>
          <xm:sqref>F2:F321</xm:sqref>
        </x14:conditionalFormatting>
      </x14:conditionalFormattings>
    </x:ext>
  </x:extLst>
</x:worksheet>
</file>